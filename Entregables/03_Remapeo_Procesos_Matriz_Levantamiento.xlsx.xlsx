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45c5c7d78848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ario y clasificación" sheetId="1" r:id="R5fdf11a536cb4a65"/>
    <x:sheet xmlns:r="http://schemas.openxmlformats.org/officeDocument/2006/relationships" name="Diagnóstico preliminar" sheetId="2" r:id="R255643e0e2b14e83"/>
    <x:sheet xmlns:r="http://schemas.openxmlformats.org/officeDocument/2006/relationships" name="Hoja de ruta" sheetId="3" r:id="R8823a7d8941f43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2F5597"/>
      </x:patternFill>
    </x:fill>
  </x:fills>
  <x:borders count="4">
    <x:border/>
    <x:border/>
    <x:border>
      <x:bottom style="thin">
        <x:color rgb="FFD9E2F3"/>
      </x:bottom>
    </x:border>
    <x:border>
      <x:bottom style="thin">
        <x:color rgb="FFD9E2F3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abec17849b40be" /><Relationship Type="http://schemas.openxmlformats.org/officeDocument/2006/relationships/theme" Target="/xl/theme/theme1.xml" Id="R2da1e3af48ca4452" /><Relationship Type="http://schemas.openxmlformats.org/officeDocument/2006/relationships/sharedStrings" Target="/xl/sharedStrings.xml" Id="R4fe5cad0a27640c0" /><Relationship Type="http://schemas.openxmlformats.org/officeDocument/2006/relationships/worksheet" Target="/xl/worksheets/sheet1.xml" Id="R5fdf11a536cb4a65" /><Relationship Type="http://schemas.openxmlformats.org/officeDocument/2006/relationships/worksheet" Target="/xl/worksheets/sheet2.xml" Id="R255643e0e2b14e83" /><Relationship Type="http://schemas.openxmlformats.org/officeDocument/2006/relationships/worksheet" Target="/xl/worksheets/sheet3.xml" Id="R8823a7d8941f43b5" /></Relationships>
</file>

<file path=xl/tables/table1.xml><?xml version="1.0" encoding="utf-8"?>
<x:table xmlns:x="http://schemas.openxmlformats.org/spreadsheetml/2006/main" id="1" name="InventarioAdmin" displayName="InventarioAdmin" ref="A11:O73" headerRowCount="1">
  <x:tableColumns count="15">
    <x:tableColumn id="1" name="ID"/>
    <x:tableColumn id="2" name="Macroproceso"/>
    <x:tableColumn id="3" name="Subproceso"/>
    <x:tableColumn id="4" name="Actividad administrativa"/>
    <x:tableColumn id="5" name="Tipo de tarea"/>
    <x:tableColumn id="6" name="Frecuencia"/>
    <x:tableColumn id="7" name="Responsable actual"/>
    <x:tableColumn id="8" name="Apoyos / participantes"/>
    <x:tableColumn id="9" name="Sistema o canal"/>
    <x:tableColumn id="10" name="Criticidad"/>
    <x:tableColumn id="11" name="Potencial de automatización"/>
    <x:tableColumn id="12" name="Hallazgo / observación preliminar"/>
    <x:tableColumn id="13" name="Responsable / esquema futuro sugerido"/>
    <x:tableColumn id="14" name="Estado de validación"/>
    <x:tableColumn id="15" name="Fuente"/>
  </x:tableColumns>
  <x:tableStyleInfo name="TableStyleMedium2" showRowStripes="1"/>
</x:table>
</file>

<file path=xl/tables/table2.xml><?xml version="1.0" encoding="utf-8"?>
<x:table xmlns:x="http://schemas.openxmlformats.org/spreadsheetml/2006/main" id="2" name="DiagnosticoTable" displayName="DiagnosticoTable" ref="A10:I22" headerRowCount="1">
  <x:tableColumns count="9">
    <x:tableColumn id="1" name="ID"/>
    <x:tableColumn id="2" name="Hallazgo preliminar"/>
    <x:tableColumn id="3" name="Evidencia observada"/>
    <x:tableColumn id="4" name="Impacto / riesgo"/>
    <x:tableColumn id="5" name="Macroprocesos afectados"/>
    <x:tableColumn id="6" name="Prioridad"/>
    <x:tableColumn id="7" name="Recomendación inmediata"/>
    <x:tableColumn id="8" name="Horizonte"/>
    <x:tableColumn id="9" name="Validación pendiente"/>
  </x:tableColumns>
  <x:tableStyleInfo name="TableStyleMedium2" showRowStripes="1"/>
</x:table>
</file>

<file path=xl/tables/table3.xml><?xml version="1.0" encoding="utf-8"?>
<x:table xmlns:x="http://schemas.openxmlformats.org/spreadsheetml/2006/main" id="3" name="RoadmapTable" displayName="RoadmapTable" ref="A10:H21" headerRowCount="1">
  <x:tableColumns count="8">
    <x:tableColumn id="1" name="Fase"/>
    <x:tableColumn id="2" name="Línea de trabajo"/>
    <x:tableColumn id="3" name="Objetivo"/>
    <x:tableColumn id="4" name="Entregable esperado"/>
    <x:tableColumn id="5" name="Estado actual"/>
    <x:tableColumn id="6" name="Responsable sugerido"/>
    <x:tableColumn id="7" name="Horizonte"/>
    <x:tableColumn id="8" name="Notas / criterio de cierr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1c0fecccd94bd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e1066aa2fa04c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694ade5f000455f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3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  <x:col min="9" max="9" width="24" hidden="0" customWidth="1"/>
    <x:col min="10" max="10" width="12" hidden="0" customWidth="1"/>
    <x:col min="11" max="11" width="18" hidden="0" customWidth="1"/>
    <x:col min="12" max="12" width="48" hidden="0" customWidth="1"/>
    <x:col min="13" max="13" width="36" hidden="0" customWidth="1"/>
    <x:col min="14" max="14" width="20" hidden="0" customWidth="1"/>
    <x:col min="15" max="15" width="22" hidden="0" customWidth="1"/>
  </x:cols>
  <x:sheetData>
    <x:row r="1" ht="28" customHeight="1">
      <x:c r="A1" s="4" t="str">
        <x:v>Inventario y clasificación de actividades administrativas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>
      <x:c r="A2" s="9" t="str">
        <x:v>Objetivo</x:v>
      </x:c>
      <x:c r="B2" s="28" t="str">
        <x:v>Consolidar las actividades observadas y declaradas, su responsable actual, criticidad y oportunidad de rediseño. La clasificación es preliminar y debe validarse antes de formalizar puestos.</x:v>
      </x:c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</x:row>
    <x:row r="4">
      <x:c r="A4" s="16" t="str">
        <x:v>Indicador</x:v>
      </x:c>
      <x:c r="B4" s="16" t="str">
        <x:v>Valor</x:v>
      </x:c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</x:row>
    <x:row r="5">
      <x:c r="A5" s="28" t="str">
        <x:v>Actividades inventariadas</x:v>
      </x:c>
      <x:c r="B5" s="28" t="n">
        <x:f>COUNTA(D12:D73)</x:f>
        <x:v>62</x:v>
      </x:c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</x:row>
    <x:row r="6">
      <x:c r="A6" s="28" t="str">
        <x:v>Criticidad alta</x:v>
      </x:c>
      <x:c r="B6" s="28" t="n">
        <x:f>COUNTIF(J12:J73,"Alta")</x:f>
        <x:v>56</x:v>
      </x:c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</x:row>
    <x:row r="7">
      <x:c r="A7" s="28" t="str">
        <x:v>Automatizables (Sí/Parcial)</x:v>
      </x:c>
      <x:c r="B7" s="28" t="n">
        <x:f>COUNTIF(K12:K73,"Sí")+COUNTIF(K12:K73,"Parcial")</x:f>
        <x:v>59</x:v>
      </x:c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</x:row>
    <x:row r="8">
      <x:c r="A8" s="28" t="str">
        <x:v>Validadas preliminarmente</x:v>
      </x:c>
      <x:c r="B8" s="28" t="n">
        <x:f>COUNTIF(N12:N73,"Validado preliminarmente")</x:f>
        <x:v>43</x:v>
      </x:c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</x:row>
    <x:row r="11">
      <x:c r="A11" s="24" t="str">
        <x:v>ID</x:v>
      </x:c>
      <x:c r="B11" s="24" t="str">
        <x:v>Macroproceso</x:v>
      </x:c>
      <x:c r="C11" s="24" t="str">
        <x:v>Subproceso</x:v>
      </x:c>
      <x:c r="D11" s="24" t="str">
        <x:v>Actividad administrativa</x:v>
      </x:c>
      <x:c r="E11" s="24" t="str">
        <x:v>Tipo de tarea</x:v>
      </x:c>
      <x:c r="F11" s="24" t="str">
        <x:v>Frecuencia</x:v>
      </x:c>
      <x:c r="G11" s="24" t="str">
        <x:v>Responsable actual</x:v>
      </x:c>
      <x:c r="H11" s="24" t="str">
        <x:v>Apoyos / participantes</x:v>
      </x:c>
      <x:c r="I11" s="24" t="str">
        <x:v>Sistema o canal</x:v>
      </x:c>
      <x:c r="J11" s="24" t="str">
        <x:v>Criticidad</x:v>
      </x:c>
      <x:c r="K11" s="24" t="str">
        <x:v>Potencial de automatización</x:v>
      </x:c>
      <x:c r="L11" s="24" t="str">
        <x:v>Hallazgo / observación preliminar</x:v>
      </x:c>
      <x:c r="M11" s="24" t="str">
        <x:v>Responsable / esquema futuro sugerido</x:v>
      </x:c>
      <x:c r="N11" s="24" t="str">
        <x:v>Estado de validación</x:v>
      </x:c>
      <x:c r="O11" s="24" t="str">
        <x:v>Fuente</x:v>
      </x:c>
    </x:row>
    <x:row r="12">
      <x:c r="A12" s="25" t="n">
        <x:v>1</x:v>
      </x:c>
      <x:c r="B12" s="25" t="str">
        <x:v>Tesorería y bancos</x:v>
      </x:c>
      <x:c r="C12" s="25" t="str">
        <x:v>Pagos</x:v>
      </x:c>
      <x:c r="D12" s="25" t="str">
        <x:v>Programar y ejecutar pagos a proveedores</x:v>
      </x:c>
      <x:c r="E12" s="25" t="str">
        <x:v>Operativa / control</x:v>
      </x:c>
      <x:c r="F12" s="25" t="str">
        <x:v>4 cortes mensuales + excepciones</x:v>
      </x:c>
      <x:c r="G12" s="25" t="str">
        <x:v>Administradora</x:v>
      </x:c>
      <x:c r="H12" s="25" t="str">
        <x:v>Notaria</x:v>
      </x:c>
      <x:c r="I12" s="25" t="str">
        <x:v>Banca / correo / comprobantes</x:v>
      </x:c>
      <x:c r="J12" s="25" t="str">
        <x:v>Alta</x:v>
      </x:c>
      <x:c r="K12" s="25" t="str">
        <x:v>Parcial</x:v>
      </x:c>
      <x:c r="L12" s="25" t="str">
        <x:v>Los pagos se agrupan en cortes (~5, 12-13, 20-24 y fin de mes); existen urgencias fuera de corte.</x:v>
      </x:c>
      <x:c r="M12" s="25" t="str">
        <x:v>Asistente prepara / Administradora revisa / Notaria aprueba</x:v>
      </x:c>
      <x:c r="N12" s="25" t="str">
        <x:v>Validado preliminarmente</x:v>
      </x:c>
      <x:c r="O12" s="25" t="str">
        <x:v>Entrevista Lisbeth</x:v>
      </x:c>
    </x:row>
    <x:row r="13">
      <x:c r="A13" s="25" t="n">
        <x:v>2</x:v>
      </x:c>
      <x:c r="B13" s="25" t="str">
        <x:v>Tesorería y bancos</x:v>
      </x:c>
      <x:c r="C13" s="25" t="str">
        <x:v>Bancos</x:v>
      </x:c>
      <x:c r="D13" s="25" t="str">
        <x:v>Actualizar cuentas y movimientos bancarios</x:v>
      </x:c>
      <x:c r="E13" s="25" t="str">
        <x:v>Control</x:v>
      </x:c>
      <x:c r="F13" s="25" t="str">
        <x:v>Diaria</x:v>
      </x:c>
      <x:c r="G13" s="25" t="str">
        <x:v>Administradora</x:v>
      </x:c>
      <x:c r="H13" s="25" t="str"/>
      <x:c r="I13" s="25" t="str">
        <x:v>Banca web / Excel</x:v>
      </x:c>
      <x:c r="J13" s="25" t="str">
        <x:v>Alta</x:v>
      </x:c>
      <x:c r="K13" s="25" t="str">
        <x:v>Sí</x:v>
      </x:c>
      <x:c r="L13" s="25" t="str">
        <x:v>Es una de las primeras actividades del día y alimenta pagos, cancelaciones y conciliación.</x:v>
      </x:c>
      <x:c r="M13" s="25" t="str">
        <x:v>Asistente administrativo-financiero</x:v>
      </x:c>
      <x:c r="N13" s="25" t="str">
        <x:v>Validado preliminarmente</x:v>
      </x:c>
      <x:c r="O13" s="25" t="str">
        <x:v>Entrevista Lisbeth</x:v>
      </x:c>
    </x:row>
    <x:row r="14">
      <x:c r="A14" s="25" t="n">
        <x:v>3</x:v>
      </x:c>
      <x:c r="B14" s="25" t="str">
        <x:v>Tesorería y bancos</x:v>
      </x:c>
      <x:c r="C14" s="25" t="str">
        <x:v>Bancos</x:v>
      </x:c>
      <x:c r="D14" s="25" t="str">
        <x:v>Investigar débitos o cobros no identificados</x:v>
      </x:c>
      <x:c r="E14" s="25" t="str">
        <x:v>Análisis</x:v>
      </x:c>
      <x:c r="F14" s="25" t="str">
        <x:v>Según incidencia</x:v>
      </x:c>
      <x:c r="G14" s="25" t="str">
        <x:v>Administradora</x:v>
      </x:c>
      <x:c r="H14" s="25" t="str">
        <x:v>Banco / proveedor</x:v>
      </x:c>
      <x:c r="I14" s="25" t="str">
        <x:v>Banca / correo / llamada</x:v>
      </x:c>
      <x:c r="J14" s="25" t="str">
        <x:v>Alta</x:v>
      </x:c>
      <x:c r="K14" s="25" t="str">
        <x:v>Parcial</x:v>
      </x:c>
      <x:c r="L14" s="25" t="str">
        <x:v>Requiere investigar movimientos y regularizarlos antes del cierre.</x:v>
      </x:c>
      <x:c r="M14" s="25" t="str">
        <x:v>Administradora</x:v>
      </x:c>
      <x:c r="N14" s="25" t="str">
        <x:v>Validado preliminarmente</x:v>
      </x:c>
      <x:c r="O14" s="25" t="str">
        <x:v>Lista + entrevista</x:v>
      </x:c>
    </x:row>
    <x:row r="15">
      <x:c r="A15" s="25" t="n">
        <x:v>4</x:v>
      </x:c>
      <x:c r="B15" s="25" t="str">
        <x:v>Tesorería y bancos</x:v>
      </x:c>
      <x:c r="C15" s="25" t="str">
        <x:v>Conciliación</x:v>
      </x:c>
      <x:c r="D15" s="25" t="str">
        <x:v>Realizar conciliación bancaria</x:v>
      </x:c>
      <x:c r="E15" s="25" t="str">
        <x:v>Control</x:v>
      </x:c>
      <x:c r="F15" s="25" t="str">
        <x:v>Diaria</x:v>
      </x:c>
      <x:c r="G15" s="25" t="str">
        <x:v>Administradora</x:v>
      </x:c>
      <x:c r="H15" s="25" t="str">
        <x:v>Estudio contable</x:v>
      </x:c>
      <x:c r="I15" s="25" t="str">
        <x:v>Banca / sistema / Excel</x:v>
      </x:c>
      <x:c r="J15" s="25" t="str">
        <x:v>Alta</x:v>
      </x:c>
      <x:c r="K15" s="25" t="str">
        <x:v>Sí</x:v>
      </x:c>
      <x:c r="L15" s="25" t="str">
        <x:v>Proceso crítico y candidato claro a apoyo operativo y matching automático.</x:v>
      </x:c>
      <x:c r="M15" s="25" t="str">
        <x:v>Asistente prepara / Administradora revisa</x:v>
      </x:c>
      <x:c r="N15" s="25" t="str">
        <x:v>Validado preliminarmente</x:v>
      </x:c>
      <x:c r="O15" s="25" t="str">
        <x:v>Lista + entrevista</x:v>
      </x:c>
    </x:row>
    <x:row r="16">
      <x:c r="A16" s="25" t="n">
        <x:v>5</x:v>
      </x:c>
      <x:c r="B16" s="25" t="str">
        <x:v>Caja y control de ventas</x:v>
      </x:c>
      <x:c r="C16" s="25" t="str">
        <x:v>Caja diaria</x:v>
      </x:c>
      <x:c r="D16" s="25" t="str">
        <x:v>Preparar cierre/cuadre diario de caja Notaría y TCM</x:v>
      </x:c>
      <x:c r="E16" s="25" t="str">
        <x:v>Operativa / control</x:v>
      </x:c>
      <x:c r="F16" s="25" t="str">
        <x:v>Diaria</x:v>
      </x:c>
      <x:c r="G16" s="25" t="str">
        <x:v>Diana</x:v>
      </x:c>
      <x:c r="H16" s="25" t="str">
        <x:v>Administradora</x:v>
      </x:c>
      <x:c r="I16" s="25" t="str">
        <x:v>Sistema / reportes / efectivo</x:v>
      </x:c>
      <x:c r="J16" s="25" t="str">
        <x:v>Alta</x:v>
      </x:c>
      <x:c r="K16" s="25" t="str">
        <x:v>Parcial</x:v>
      </x:c>
      <x:c r="L16" s="25" t="str">
        <x:v>Función delegada recientemente; Diana prepara y Lisbeth verifica antes del visto bueno.</x:v>
      </x:c>
      <x:c r="M16" s="25" t="str">
        <x:v>Diana prepara / Administradora supervisa</x:v>
      </x:c>
      <x:c r="N16" s="25" t="str">
        <x:v>Validado preliminarmente</x:v>
      </x:c>
      <x:c r="O16" s="25" t="str">
        <x:v>Audio complementario</x:v>
      </x:c>
    </x:row>
    <x:row r="17">
      <x:c r="A17" s="25" t="n">
        <x:v>6</x:v>
      </x:c>
      <x:c r="B17" s="25" t="str">
        <x:v>Caja y control de ventas</x:v>
      </x:c>
      <x:c r="C17" s="25" t="str">
        <x:v>Medios de pago</x:v>
      </x:c>
      <x:c r="D17" s="25" t="str">
        <x:v>Conciliar efectivo, tarjeta y depósitos contra reportes del sistema</x:v>
      </x:c>
      <x:c r="E17" s="25" t="str">
        <x:v>Control</x:v>
      </x:c>
      <x:c r="F17" s="25" t="str">
        <x:v>Diaria</x:v>
      </x:c>
      <x:c r="G17" s="25" t="str">
        <x:v>Diana + Administradora</x:v>
      </x:c>
      <x:c r="H17" s="25" t="str">
        <x:v>Banco / sistema</x:v>
      </x:c>
      <x:c r="I17" s="25" t="str">
        <x:v>Sistema / cierre POS / efectivo</x:v>
      </x:c>
      <x:c r="J17" s="25" t="str">
        <x:v>Alta</x:v>
      </x:c>
      <x:c r="K17" s="25" t="str">
        <x:v>Sí</x:v>
      </x:c>
      <x:c r="L17" s="25" t="str">
        <x:v>El total por medio de pago debe cuadrar con el cierre; tarjeta incluye conceptos de distintas unidades.</x:v>
      </x:c>
      <x:c r="M17" s="25" t="str">
        <x:v>Diana prepara / Administradora valida</x:v>
      </x:c>
      <x:c r="N17" s="25" t="str">
        <x:v>Validado preliminarmente</x:v>
      </x:c>
      <x:c r="O17" s="25" t="str">
        <x:v>Audio complementario</x:v>
      </x:c>
    </x:row>
    <x:row r="18">
      <x:c r="A18" s="25" t="n">
        <x:v>7</x:v>
      </x:c>
      <x:c r="B18" s="25" t="str">
        <x:v>Caja y control de ventas</x:v>
      </x:c>
      <x:c r="C18" s="25" t="str">
        <x:v>Caja chica</x:v>
      </x:c>
      <x:c r="D18" s="25" t="str">
        <x:v>Preparar rendición y cuadre de caja chica</x:v>
      </x:c>
      <x:c r="E18" s="25" t="str">
        <x:v>Operativa / control</x:v>
      </x:c>
      <x:c r="F18" s="25" t="str">
        <x:v>Semanal / cierre</x:v>
      </x:c>
      <x:c r="G18" s="25" t="str">
        <x:v>Diana</x:v>
      </x:c>
      <x:c r="H18" s="25" t="str">
        <x:v>Administradora</x:v>
      </x:c>
      <x:c r="I18" s="25" t="str">
        <x:v>Excel / comprobantes</x:v>
      </x:c>
      <x:c r="J18" s="25" t="str">
        <x:v>Alta</x:v>
      </x:c>
      <x:c r="K18" s="25" t="str">
        <x:v>Parcial</x:v>
      </x:c>
      <x:c r="L18" s="25" t="str">
        <x:v>La doctora delegó caja chica a Diana hace aproximadamente una semana; Lisbeth mantiene revisión.</x:v>
      </x:c>
      <x:c r="M18" s="25" t="str">
        <x:v>Diana</x:v>
      </x:c>
      <x:c r="N18" s="25" t="str">
        <x:v>Validado preliminarmente</x:v>
      </x:c>
      <x:c r="O18" s="25" t="str">
        <x:v>Audio complementario</x:v>
      </x:c>
    </x:row>
    <x:row r="19">
      <x:c r="A19" s="25" t="n">
        <x:v>8</x:v>
      </x:c>
      <x:c r="B19" s="25" t="str">
        <x:v>Caja y control de ventas</x:v>
      </x:c>
      <x:c r="C19" s="25" t="str">
        <x:v>Compensaciones internas</x:v>
      </x:c>
      <x:c r="D19" s="25" t="str">
        <x:v>Registrar y consolidar devoluciones/compensaciones entre Notaría, Registral y Gestión</x:v>
      </x:c>
      <x:c r="E19" s="25" t="str">
        <x:v>Control</x:v>
      </x:c>
      <x:c r="F19" s="25" t="str">
        <x:v>Diaria + cierre mensual</x:v>
      </x:c>
      <x:c r="G19" s="25" t="str">
        <x:v>Administradora</x:v>
      </x:c>
      <x:c r="H19" s="25" t="str">
        <x:v>Diana</x:v>
      </x:c>
      <x:c r="I19" s="25" t="str">
        <x:v>Excel / reportes / banco</x:v>
      </x:c>
      <x:c r="J19" s="25" t="str">
        <x:v>Alta</x:v>
      </x:c>
      <x:c r="K19" s="25" t="str">
        <x:v>Sí</x:v>
      </x:c>
      <x:c r="L19" s="25" t="str">
        <x:v>Pagos con tarjeta o depósito pueden generar saldos entre unidades; se consolida cuadro mensual.</x:v>
      </x:c>
      <x:c r="M19" s="25" t="str">
        <x:v>Asistente prepara / Administradora revisa</x:v>
      </x:c>
      <x:c r="N19" s="25" t="str">
        <x:v>Validado preliminarmente</x:v>
      </x:c>
      <x:c r="O19" s="25" t="str">
        <x:v>Audio complementario</x:v>
      </x:c>
    </x:row>
    <x:row r="20">
      <x:c r="A20" s="25" t="n">
        <x:v>9</x:v>
      </x:c>
      <x:c r="B20" s="25" t="str">
        <x:v>Caja y control de ventas</x:v>
      </x:c>
      <x:c r="C20" s="25" t="str">
        <x:v>Producción diaria</x:v>
      </x:c>
      <x:c r="D20" s="25" t="str">
        <x:v>Revisar reporte diario de kardex presupuestados, facturados y cobrados</x:v>
      </x:c>
      <x:c r="E20" s="25" t="str">
        <x:v>Control / análisis</x:v>
      </x:c>
      <x:c r="F20" s="25" t="str">
        <x:v>Diaria</x:v>
      </x:c>
      <x:c r="G20" s="25" t="str">
        <x:v>Administradora</x:v>
      </x:c>
      <x:c r="H20" s="25" t="str">
        <x:v>Abogados / caja</x:v>
      </x:c>
      <x:c r="I20" s="25" t="str">
        <x:v>Sistema / correo</x:v>
      </x:c>
      <x:c r="J20" s="25" t="str">
        <x:v>Alta</x:v>
      </x:c>
      <x:c r="K20" s="25" t="str">
        <x:v>Sí</x:v>
      </x:c>
      <x:c r="L20" s="25" t="str">
        <x:v>Permite detectar kardex presupuestados aún no facturados o cobrados y pedir explicación al área legal.</x:v>
      </x:c>
      <x:c r="M20" s="25" t="str">
        <x:v>Asistente prepara / Administradora supervisa</x:v>
      </x:c>
      <x:c r="N20" s="25" t="str">
        <x:v>Validado preliminarmente</x:v>
      </x:c>
      <x:c r="O20" s="25" t="str">
        <x:v>Audio complementario</x:v>
      </x:c>
    </x:row>
    <x:row r="21">
      <x:c r="A21" s="25" t="n">
        <x:v>10</x:v>
      </x:c>
      <x:c r="B21" s="25" t="str">
        <x:v>Caja y control de ventas</x:v>
      </x:c>
      <x:c r="C21" s="25" t="str">
        <x:v>Reporte gerencial</x:v>
      </x:c>
      <x:c r="D21" s="25" t="str">
        <x:v>Enviar/revisar reportes diarios de ventas y cuadre para la notaria</x:v>
      </x:c>
      <x:c r="E21" s="25" t="str">
        <x:v>Reporte</x:v>
      </x:c>
      <x:c r="F21" s="25" t="str">
        <x:v>Diaria</x:v>
      </x:c>
      <x:c r="G21" s="25" t="str">
        <x:v>Diana + Administradora</x:v>
      </x:c>
      <x:c r="H21" s="25" t="str">
        <x:v>Notaria</x:v>
      </x:c>
      <x:c r="I21" s="25" t="str">
        <x:v>Sistema / correo</x:v>
      </x:c>
      <x:c r="J21" s="25" t="str">
        <x:v>Media</x:v>
      </x:c>
      <x:c r="K21" s="25" t="str">
        <x:v>Sí</x:v>
      </x:c>
      <x:c r="L21" s="25" t="str">
        <x:v>La notaria recibe reportes diarios, pero no cuenta con una vista consolidada tipo dashboard.</x:v>
      </x:c>
      <x:c r="M21" s="25" t="str">
        <x:v>Automatizar reporte / Administradora valida</x:v>
      </x:c>
      <x:c r="N21" s="25" t="str">
        <x:v>Validado preliminarmente</x:v>
      </x:c>
      <x:c r="O21" s="25" t="str">
        <x:v>Audio complementario</x:v>
      </x:c>
    </x:row>
    <x:row r="22">
      <x:c r="A22" s="25" t="n">
        <x:v>11</x:v>
      </x:c>
      <x:c r="B22" s="25" t="str">
        <x:v>Facturación y cobranzas</x:v>
      </x:c>
      <x:c r="C22" s="25" t="str">
        <x:v>Emisión de comprobantes</x:v>
      </x:c>
      <x:c r="D22" s="25" t="str">
        <x:v>Emitir comprobantes y enviar facturas a crédito</x:v>
      </x:c>
      <x:c r="E22" s="25" t="str">
        <x:v>Operativa</x:v>
      </x:c>
      <x:c r="F22" s="25" t="str">
        <x:v>Diaria</x:v>
      </x:c>
      <x:c r="G22" s="25" t="str">
        <x:v>Diana</x:v>
      </x:c>
      <x:c r="H22" s="25" t="str">
        <x:v>Administradora / abogados</x:v>
      </x:c>
      <x:c r="I22" s="25" t="str">
        <x:v>Sistema / correo</x:v>
      </x:c>
      <x:c r="J22" s="25" t="str">
        <x:v>Alta</x:v>
      </x:c>
      <x:c r="K22" s="25" t="str">
        <x:v>Parcial</x:v>
      </x:c>
      <x:c r="L22" s="25" t="str">
        <x:v>Diana emite y envía comprobantes a crédito; depende de que abogados mantengan a administración/caja en copia.</x:v>
      </x:c>
      <x:c r="M22" s="25" t="str">
        <x:v>Diana</x:v>
      </x:c>
      <x:c r="N22" s="25" t="str">
        <x:v>Validado preliminarmente</x:v>
      </x:c>
      <x:c r="O22" s="25" t="str">
        <x:v>Audio complementario</x:v>
      </x:c>
    </x:row>
    <x:row r="23">
      <x:c r="A23" s="25" t="n">
        <x:v>12</x:v>
      </x:c>
      <x:c r="B23" s="25" t="str">
        <x:v>Facturación y cobranzas</x:v>
      </x:c>
      <x:c r="C23" s="25" t="str">
        <x:v>Anulaciones</x:v>
      </x:c>
      <x:c r="D23" s="25" t="str">
        <x:v>Gestionar solicitud de anulación o nota de crédito</x:v>
      </x:c>
      <x:c r="E23" s="25" t="str">
        <x:v>Coordinación / aprobación</x:v>
      </x:c>
      <x:c r="F23" s="25" t="str">
        <x:v>Según solicitud</x:v>
      </x:c>
      <x:c r="G23" s="25" t="str">
        <x:v>Doctora + Ing. Velásquez</x:v>
      </x:c>
      <x:c r="H23" s="25" t="str">
        <x:v>Administradora / caja</x:v>
      </x:c>
      <x:c r="I23" s="25" t="str">
        <x:v>Sistema / correo</x:v>
      </x:c>
      <x:c r="J23" s="25" t="str">
        <x:v>Alta</x:v>
      </x:c>
      <x:c r="K23" s="25" t="str">
        <x:v>No</x:v>
      </x:c>
      <x:c r="L23" s="25" t="str">
        <x:v>La decisión de anular se controla por la doctora y la ejecución técnica la realiza el Ing. Velásquez.</x:v>
      </x:c>
      <x:c r="M23" s="25" t="str">
        <x:v>Doctora aprueba / Ing. Velásquez ejecuta</x:v>
      </x:c>
      <x:c r="N23" s="25" t="str">
        <x:v>Validado preliminarmente</x:v>
      </x:c>
      <x:c r="O23" s="25" t="str">
        <x:v>Audio complementario</x:v>
      </x:c>
    </x:row>
    <x:row r="24">
      <x:c r="A24" s="25" t="n">
        <x:v>13</x:v>
      </x:c>
      <x:c r="B24" s="25" t="str">
        <x:v>Facturación y cobranzas</x:v>
      </x:c>
      <x:c r="C24" s="25" t="str">
        <x:v>Cobranzas</x:v>
      </x:c>
      <x:c r="D24" s="25" t="str">
        <x:v>Preparar cartera por grupo de clientes</x:v>
      </x:c>
      <x:c r="E24" s="25" t="str">
        <x:v>Análisis</x:v>
      </x:c>
      <x:c r="F24" s="25" t="str">
        <x:v>Diaria / semanal</x:v>
      </x:c>
      <x:c r="G24" s="25" t="str">
        <x:v>Administradora</x:v>
      </x:c>
      <x:c r="H24" s="25" t="str"/>
      <x:c r="I24" s="25" t="str">
        <x:v>Sistema / Excel</x:v>
      </x:c>
      <x:c r="J24" s="25" t="str">
        <x:v>Alta</x:v>
      </x:c>
      <x:c r="K24" s="25" t="str">
        <x:v>Sí</x:v>
      </x:c>
      <x:c r="L24" s="25" t="str">
        <x:v>Proceso manual basado en vencimientos y estado de pago; ya existe prototipo de automatización.</x:v>
      </x:c>
      <x:c r="M24" s="25" t="str">
        <x:v>Asistente / automatización</x:v>
      </x:c>
      <x:c r="N24" s="25" t="str">
        <x:v>Validado preliminarmente</x:v>
      </x:c>
      <x:c r="O24" s="25" t="str">
        <x:v>Lista + proyecto</x:v>
      </x:c>
    </x:row>
    <x:row r="25">
      <x:c r="A25" s="25" t="n">
        <x:v>14</x:v>
      </x:c>
      <x:c r="B25" s="25" t="str">
        <x:v>Facturación y cobranzas</x:v>
      </x:c>
      <x:c r="C25" s="25" t="str">
        <x:v>Cobranzas</x:v>
      </x:c>
      <x:c r="D25" s="25" t="str">
        <x:v>Enviar correos de créditos y vencimientos</x:v>
      </x:c>
      <x:c r="E25" s="25" t="str">
        <x:v>Seguimiento</x:v>
      </x:c>
      <x:c r="F25" s="25" t="str">
        <x:v>Diaria</x:v>
      </x:c>
      <x:c r="G25" s="25" t="str">
        <x:v>Administradora</x:v>
      </x:c>
      <x:c r="H25" s="25" t="str">
        <x:v>Diana potencial</x:v>
      </x:c>
      <x:c r="I25" s="25" t="str">
        <x:v>Outlook / Excel</x:v>
      </x:c>
      <x:c r="J25" s="25" t="str">
        <x:v>Alta</x:v>
      </x:c>
      <x:c r="K25" s="25" t="str">
        <x:v>Sí</x:v>
      </x:c>
      <x:c r="L25" s="25" t="str">
        <x:v>Comunicaciones repetitivas con alto potencial de plantillas y aprobación humana.</x:v>
      </x:c>
      <x:c r="M25" s="25" t="str">
        <x:v>Asistente / automatización</x:v>
      </x:c>
      <x:c r="N25" s="25" t="str">
        <x:v>Validado preliminarmente</x:v>
      </x:c>
      <x:c r="O25" s="25" t="str">
        <x:v>Lista + entrevista</x:v>
      </x:c>
    </x:row>
    <x:row r="26">
      <x:c r="A26" s="25" t="n">
        <x:v>15</x:v>
      </x:c>
      <x:c r="B26" s="25" t="str">
        <x:v>Facturación y cobranzas</x:v>
      </x:c>
      <x:c r="C26" s="25" t="str">
        <x:v>Cobranzas</x:v>
      </x:c>
      <x:c r="D26" s="25" t="str">
        <x:v>Reiterar por correo, WhatsApp y llamadas; registrar respuestas</x:v>
      </x:c>
      <x:c r="E26" s="25" t="str">
        <x:v>Seguimiento</x:v>
      </x:c>
      <x:c r="F26" s="25" t="str">
        <x:v>Según mora</x:v>
      </x:c>
      <x:c r="G26" s="25" t="str">
        <x:v>Administradora</x:v>
      </x:c>
      <x:c r="H26" s="25" t="str">
        <x:v>Abogado responsable</x:v>
      </x:c>
      <x:c r="I26" s="25" t="str">
        <x:v>Correo / WhatsApp / teléfono</x:v>
      </x:c>
      <x:c r="J26" s="25" t="str">
        <x:v>Alta</x:v>
      </x:c>
      <x:c r="K26" s="25" t="str">
        <x:v>Parcial</x:v>
      </x:c>
      <x:c r="L26" s="25" t="str">
        <x:v>El seguimiento está distribuido entre canales y no existe una bitácora central única.</x:v>
      </x:c>
      <x:c r="M26" s="25" t="str">
        <x:v>Asistente + escalamiento al abogado</x:v>
      </x:c>
      <x:c r="N26" s="25" t="str">
        <x:v>Validado preliminarmente</x:v>
      </x:c>
      <x:c r="O26" s="25" t="str">
        <x:v>Lista + entrevista</x:v>
      </x:c>
    </x:row>
    <x:row r="27">
      <x:c r="A27" s="25" t="n">
        <x:v>16</x:v>
      </x:c>
      <x:c r="B27" s="25" t="str">
        <x:v>Facturación y cobranzas</x:v>
      </x:c>
      <x:c r="C27" s="25" t="str">
        <x:v>Aplicación de pagos</x:v>
      </x:c>
      <x:c r="D27" s="25" t="str">
        <x:v>Validar detracciones y retenciones para cancelar facturas</x:v>
      </x:c>
      <x:c r="E27" s="25" t="str">
        <x:v>Control</x:v>
      </x:c>
      <x:c r="F27" s="25" t="str">
        <x:v>Diaria</x:v>
      </x:c>
      <x:c r="G27" s="25" t="str">
        <x:v>Administradora</x:v>
      </x:c>
      <x:c r="H27" s="25" t="str">
        <x:v>Estudio contable</x:v>
      </x:c>
      <x:c r="I27" s="25" t="str">
        <x:v>SUNAT / sistema / banco</x:v>
      </x:c>
      <x:c r="J27" s="25" t="str">
        <x:v>Alta</x:v>
      </x:c>
      <x:c r="K27" s="25" t="str">
        <x:v>Sí</x:v>
      </x:c>
      <x:c r="L27" s="25" t="str">
        <x:v>Cruce manual susceptible de automatizarse con bandeja de excepciones.</x:v>
      </x:c>
      <x:c r="M27" s="25" t="str">
        <x:v>Asistente prepara / Administradora revisa</x:v>
      </x:c>
      <x:c r="N27" s="25" t="str">
        <x:v>Validado preliminarmente</x:v>
      </x:c>
      <x:c r="O27" s="25" t="str">
        <x:v>Lista</x:v>
      </x:c>
    </x:row>
    <x:row r="28">
      <x:c r="A28" s="25" t="n">
        <x:v>17</x:v>
      </x:c>
      <x:c r="B28" s="25" t="str">
        <x:v>Facturación y cobranzas</x:v>
      </x:c>
      <x:c r="C28" s="25" t="str">
        <x:v>Cancelaciones</x:v>
      </x:c>
      <x:c r="D28" s="25" t="str">
        <x:v>Cruzar abonos con deuda y cancelar comprobantes</x:v>
      </x:c>
      <x:c r="E28" s="25" t="str">
        <x:v>Control</x:v>
      </x:c>
      <x:c r="F28" s="25" t="str">
        <x:v>Diaria</x:v>
      </x:c>
      <x:c r="G28" s="25" t="str">
        <x:v>Administradora</x:v>
      </x:c>
      <x:c r="H28" s="25" t="str"/>
      <x:c r="I28" s="25" t="str">
        <x:v>Banca / sistema / Excel</x:v>
      </x:c>
      <x:c r="J28" s="25" t="str">
        <x:v>Alta</x:v>
      </x:c>
      <x:c r="K28" s="25" t="str">
        <x:v>Sí</x:v>
      </x:c>
      <x:c r="L28" s="25" t="str">
        <x:v>La administradora identifica abonos, aplica pagos y actualiza créditos; puede delegarse preparación.</x:v>
      </x:c>
      <x:c r="M28" s="25" t="str">
        <x:v>Asistente prepara / Administradora controla</x:v>
      </x:c>
      <x:c r="N28" s="25" t="str">
        <x:v>Validado preliminarmente</x:v>
      </x:c>
      <x:c r="O28" s="25" t="str">
        <x:v>Lista + entrevista</x:v>
      </x:c>
    </x:row>
    <x:row r="29">
      <x:c r="A29" s="25" t="n">
        <x:v>18</x:v>
      </x:c>
      <x:c r="B29" s="25" t="str">
        <x:v>Facturación y cobranzas</x:v>
      </x:c>
      <x:c r="C29" s="25" t="str">
        <x:v>Cancelaciones</x:v>
      </x:c>
      <x:c r="D29" s="25" t="str">
        <x:v>Enviar confirmación o agradecimiento por pago</x:v>
      </x:c>
      <x:c r="E29" s="25" t="str">
        <x:v>Seguimiento</x:v>
      </x:c>
      <x:c r="F29" s="25" t="str">
        <x:v>Después del pago</x:v>
      </x:c>
      <x:c r="G29" s="25" t="str">
        <x:v>Administradora</x:v>
      </x:c>
      <x:c r="H29" s="25" t="str"/>
      <x:c r="I29" s="25" t="str">
        <x:v>Outlook</x:v>
      </x:c>
      <x:c r="J29" s="25" t="str">
        <x:v>Baja</x:v>
      </x:c>
      <x:c r="K29" s="25" t="str">
        <x:v>Sí</x:v>
      </x:c>
      <x:c r="L29" s="25" t="str">
        <x:v>Actividad repetitiva posterior a validación del abono.</x:v>
      </x:c>
      <x:c r="M29" s="25" t="str">
        <x:v>Automatización / asistente</x:v>
      </x:c>
      <x:c r="N29" s="25" t="str">
        <x:v>Validado preliminarmente</x:v>
      </x:c>
      <x:c r="O29" s="25" t="str">
        <x:v>Lista</x:v>
      </x:c>
    </x:row>
    <x:row r="30">
      <x:c r="A30" s="25" t="n">
        <x:v>19</x:v>
      </x:c>
      <x:c r="B30" s="25" t="str">
        <x:v>Facturación y cobranzas</x:v>
      </x:c>
      <x:c r="C30" s="25" t="str">
        <x:v>Cierre cliente VIVA</x:v>
      </x:c>
      <x:c r="D30" s="25" t="str">
        <x:v>Revisar kardex, cotejar información y solicitar OC</x:v>
      </x:c>
      <x:c r="E30" s="25" t="str">
        <x:v>Control</x:v>
      </x:c>
      <x:c r="F30" s="25" t="str">
        <x:v>Quincenal / mensual</x:v>
      </x:c>
      <x:c r="G30" s="25" t="str">
        <x:v>Administradora</x:v>
      </x:c>
      <x:c r="H30" s="25" t="str">
        <x:v>Abogado responsable / cliente</x:v>
      </x:c>
      <x:c r="I30" s="25" t="str">
        <x:v>Kardex / Excel / correo</x:v>
      </x:c>
      <x:c r="J30" s="25" t="str">
        <x:v>Alta</x:v>
      </x:c>
      <x:c r="K30" s="25" t="str">
        <x:v>Parcial</x:v>
      </x:c>
      <x:c r="L30" s="25" t="str">
        <x:v>Administración contrasta el cuadro del responsable para detectar faltantes antes de facturar.</x:v>
      </x:c>
      <x:c r="M30" s="25" t="str">
        <x:v>Abogado valida integridad / Administración controla</x:v>
      </x:c>
      <x:c r="N30" s="25" t="str">
        <x:v>Validado preliminarmente</x:v>
      </x:c>
      <x:c r="O30" s="25" t="str">
        <x:v>Lista + entrevista</x:v>
      </x:c>
    </x:row>
    <x:row r="31">
      <x:c r="A31" s="25" t="n">
        <x:v>20</x:v>
      </x:c>
      <x:c r="B31" s="25" t="str">
        <x:v>Facturación y cobranzas</x:v>
      </x:c>
      <x:c r="C31" s="25" t="str">
        <x:v>Cierre cliente PLUZ</x:v>
      </x:c>
      <x:c r="D31" s="25" t="str">
        <x:v>Validar contratos, pedido y conformidad para facturar</x:v>
      </x:c>
      <x:c r="E31" s="25" t="str">
        <x:v>Control</x:v>
      </x:c>
      <x:c r="F31" s="25" t="str">
        <x:v>Quincenal / mensual</x:v>
      </x:c>
      <x:c r="G31" s="25" t="str">
        <x:v>Administradora</x:v>
      </x:c>
      <x:c r="H31" s="25" t="str">
        <x:v>Dra. Martha / cliente</x:v>
      </x:c>
      <x:c r="I31" s="25" t="str">
        <x:v>Kardex / Excel / correo</x:v>
      </x:c>
      <x:c r="J31" s="25" t="str">
        <x:v>Alta</x:v>
      </x:c>
      <x:c r="K31" s="25" t="str">
        <x:v>Parcial</x:v>
      </x:c>
      <x:c r="L31" s="25" t="str">
        <x:v>Se detectaron contratos omitidos en cierres; existe doble revisión manual por administración.</x:v>
      </x:c>
      <x:c r="M31" s="25" t="str">
        <x:v>Abogado valida integridad / Administración controla</x:v>
      </x:c>
      <x:c r="N31" s="25" t="str">
        <x:v>Validado preliminarmente</x:v>
      </x:c>
      <x:c r="O31" s="25" t="str">
        <x:v>Lista + entrevista</x:v>
      </x:c>
    </x:row>
    <x:row r="32">
      <x:c r="A32" s="25" t="n">
        <x:v>21</x:v>
      </x:c>
      <x:c r="B32" s="25" t="str">
        <x:v>Facturación y cobranzas</x:v>
      </x:c>
      <x:c r="C32" s="25" t="str">
        <x:v>Cierre cliente Enotria</x:v>
      </x:c>
      <x:c r="D32" s="25" t="str">
        <x:v>Consolidar micrograbación/regrabación y facturar</x:v>
      </x:c>
      <x:c r="E32" s="25" t="str">
        <x:v>Operativa / control</x:v>
      </x:c>
      <x:c r="F32" s="25" t="str">
        <x:v>Mensual</x:v>
      </x:c>
      <x:c r="G32" s="25" t="str">
        <x:v>Administradora</x:v>
      </x:c>
      <x:c r="H32" s="25" t="str">
        <x:v>Área operativa / auditor</x:v>
      </x:c>
      <x:c r="I32" s="25" t="str">
        <x:v>Excel / correo</x:v>
      </x:c>
      <x:c r="J32" s="25" t="str">
        <x:v>Alta</x:v>
      </x:c>
      <x:c r="K32" s="25" t="str">
        <x:v>Parcial</x:v>
      </x:c>
      <x:c r="L32" s="25" t="str">
        <x:v>Proceso con variante propia y soporte para auditoría anual.</x:v>
      </x:c>
      <x:c r="M32" s="25" t="str">
        <x:v>Responsable operativo prepara / Administración controla</x:v>
      </x:c>
      <x:c r="N32" s="25" t="str">
        <x:v>Validado preliminarmente</x:v>
      </x:c>
      <x:c r="O32" s="25" t="str">
        <x:v>Lista</x:v>
      </x:c>
    </x:row>
    <x:row r="33">
      <x:c r="A33" s="25" t="n">
        <x:v>22</x:v>
      </x:c>
      <x:c r="B33" s="25" t="str">
        <x:v>Contabilidad y tributos</x:v>
      </x:c>
      <x:c r="C33" s="25" t="str">
        <x:v>Obligaciones</x:v>
      </x:c>
      <x:c r="D33" s="25" t="str">
        <x:v>Coordinar pago de impuestos y obligaciones laborales</x:v>
      </x:c>
      <x:c r="E33" s="25" t="str">
        <x:v>Coordinación</x:v>
      </x:c>
      <x:c r="F33" s="25" t="str">
        <x:v>Mensual</x:v>
      </x:c>
      <x:c r="G33" s="25" t="str">
        <x:v>Administradora</x:v>
      </x:c>
      <x:c r="H33" s="25" t="str">
        <x:v>Estudio contable / Notaria</x:v>
      </x:c>
      <x:c r="I33" s="25" t="str">
        <x:v>SUNAT / AFP / correo</x:v>
      </x:c>
      <x:c r="J33" s="25" t="str">
        <x:v>Alta</x:v>
      </x:c>
      <x:c r="K33" s="25" t="str">
        <x:v>Parcial</x:v>
      </x:c>
      <x:c r="L33" s="25" t="str">
        <x:v>Administración coordina y controla; debe distinguirse cálculo técnico, revisión y pago.</x:v>
      </x:c>
      <x:c r="M33" s="25" t="str">
        <x:v>Compartido con estudio contable</x:v>
      </x:c>
      <x:c r="N33" s="25" t="str">
        <x:v>Validado preliminarmente</x:v>
      </x:c>
      <x:c r="O33" s="25" t="str">
        <x:v>Lista</x:v>
      </x:c>
    </x:row>
    <x:row r="34">
      <x:c r="A34" s="25" t="n">
        <x:v>23</x:v>
      </x:c>
      <x:c r="B34" s="25" t="str">
        <x:v>Contabilidad y tributos</x:v>
      </x:c>
      <x:c r="C34" s="25" t="str">
        <x:v>SUNAT</x:v>
      </x:c>
      <x:c r="D34" s="25" t="str">
        <x:v>Analizar deuda tributaria y detracciones</x:v>
      </x:c>
      <x:c r="E34" s="25" t="str">
        <x:v>Análisis</x:v>
      </x:c>
      <x:c r="F34" s="25" t="str">
        <x:v>Mensual</x:v>
      </x:c>
      <x:c r="G34" s="25" t="str">
        <x:v>Administradora</x:v>
      </x:c>
      <x:c r="H34" s="25" t="str">
        <x:v>Estudio contable</x:v>
      </x:c>
      <x:c r="I34" s="25" t="str">
        <x:v>SUNAT / Excel</x:v>
      </x:c>
      <x:c r="J34" s="25" t="str">
        <x:v>Alta</x:v>
      </x:c>
      <x:c r="K34" s="25" t="str">
        <x:v>Parcial</x:v>
      </x:c>
      <x:c r="L34" s="25" t="str">
        <x:v>Requiere control coordinado para evitar deuda o aplicación incorrecta.</x:v>
      </x:c>
      <x:c r="M34" s="25" t="str">
        <x:v>Compartido con estudio contable</x:v>
      </x:c>
      <x:c r="N34" s="25" t="str">
        <x:v>Por validar detalle</x:v>
      </x:c>
      <x:c r="O34" s="25" t="str">
        <x:v>Lista</x:v>
      </x:c>
    </x:row>
    <x:row r="35">
      <x:c r="A35" s="25" t="n">
        <x:v>24</x:v>
      </x:c>
      <x:c r="B35" s="25" t="str">
        <x:v>Contabilidad y tributos</x:v>
      </x:c>
      <x:c r="C35" s="25" t="str">
        <x:v>Libros contables</x:v>
      </x:c>
      <x:c r="D35" s="25" t="str">
        <x:v>Coordinar y verificar libros contables de Notaría y TSM</x:v>
      </x:c>
      <x:c r="E35" s="25" t="str">
        <x:v>Coordinación</x:v>
      </x:c>
      <x:c r="F35" s="25" t="str">
        <x:v>Mensual</x:v>
      </x:c>
      <x:c r="G35" s="25" t="str">
        <x:v>Administradora</x:v>
      </x:c>
      <x:c r="H35" s="25" t="str">
        <x:v>Estudio contable</x:v>
      </x:c>
      <x:c r="I35" s="25" t="str">
        <x:v>Correo / archivos</x:v>
      </x:c>
      <x:c r="J35" s="25" t="str">
        <x:v>Alta</x:v>
      </x:c>
      <x:c r="K35" s="25" t="str">
        <x:v>Parcial</x:v>
      </x:c>
      <x:c r="L35" s="25" t="str">
        <x:v>Dependencia directa del paquete de información enviado al estudio.</x:v>
      </x:c>
      <x:c r="M35" s="25" t="str">
        <x:v>Administradora coordina / Estudio procesa</x:v>
      </x:c>
      <x:c r="N35" s="25" t="str">
        <x:v>Validado preliminarmente</x:v>
      </x:c>
      <x:c r="O35" s="25" t="str">
        <x:v>Lista</x:v>
      </x:c>
    </x:row>
    <x:row r="36">
      <x:c r="A36" s="25" t="n">
        <x:v>25</x:v>
      </x:c>
      <x:c r="B36" s="25" t="str">
        <x:v>Contabilidad y tributos</x:v>
      </x:c>
      <x:c r="C36" s="25" t="str">
        <x:v>Detracciones</x:v>
      </x:c>
      <x:c r="D36" s="25" t="str">
        <x:v>Emitir reporte mensual de detracciones y archivarlo</x:v>
      </x:c>
      <x:c r="E36" s="25" t="str">
        <x:v>Control</x:v>
      </x:c>
      <x:c r="F36" s="25" t="str">
        <x:v>Mensual</x:v>
      </x:c>
      <x:c r="G36" s="25" t="str">
        <x:v>Administradora</x:v>
      </x:c>
      <x:c r="H36" s="25" t="str">
        <x:v>Estudio contable</x:v>
      </x:c>
      <x:c r="I36" s="25" t="str">
        <x:v>SUNAT / Excel / carpeta</x:v>
      </x:c>
      <x:c r="J36" s="25" t="str">
        <x:v>Media</x:v>
      </x:c>
      <x:c r="K36" s="25" t="str">
        <x:v>Sí</x:v>
      </x:c>
      <x:c r="L36" s="25" t="str">
        <x:v>Descarga, consolidación y archivo son estandarizables.</x:v>
      </x:c>
      <x:c r="M36" s="25" t="str">
        <x:v>Asistente administrativo-financiero</x:v>
      </x:c>
      <x:c r="N36" s="25" t="str">
        <x:v>Por validar detalle</x:v>
      </x:c>
      <x:c r="O36" s="25" t="str">
        <x:v>Lista</x:v>
      </x:c>
    </x:row>
    <x:row r="37">
      <x:c r="A37" s="25" t="n">
        <x:v>26</x:v>
      </x:c>
      <x:c r="B37" s="25" t="str">
        <x:v>Contabilidad y tributos</x:v>
      </x:c>
      <x:c r="C37" s="25" t="str">
        <x:v>Registro de compras</x:v>
      </x:c>
      <x:c r="D37" s="25" t="str">
        <x:v>Actualizar registro de compras y enviarlo al estudio</x:v>
      </x:c>
      <x:c r="E37" s="25" t="str">
        <x:v>Operativa / control</x:v>
      </x:c>
      <x:c r="F37" s="25" t="str">
        <x:v>Cierre de mes</x:v>
      </x:c>
      <x:c r="G37" s="25" t="str">
        <x:v>Administradora</x:v>
      </x:c>
      <x:c r="H37" s="25" t="str">
        <x:v>Estudio contable</x:v>
      </x:c>
      <x:c r="I37" s="25" t="str">
        <x:v>Sistema / archivo / correo</x:v>
      </x:c>
      <x:c r="J37" s="25" t="str">
        <x:v>Alta</x:v>
      </x:c>
      <x:c r="K37" s="25" t="str">
        <x:v>Parcial</x:v>
      </x:c>
      <x:c r="L37" s="25" t="str">
        <x:v>No se realiza diariamente; se actualiza al cierre de mes para contabilidad externa.</x:v>
      </x:c>
      <x:c r="M37" s="25" t="str">
        <x:v>Asistente prepara / Administradora revisa</x:v>
      </x:c>
      <x:c r="N37" s="25" t="str">
        <x:v>Validado preliminarmente</x:v>
      </x:c>
      <x:c r="O37" s="25" t="str">
        <x:v>Audio complementario</x:v>
      </x:c>
    </x:row>
    <x:row r="38">
      <x:c r="A38" s="25" t="n">
        <x:v>27</x:v>
      </x:c>
      <x:c r="B38" s="25" t="str">
        <x:v>Contabilidad y tributos</x:v>
      </x:c>
      <x:c r="C38" s="25" t="str">
        <x:v>Archivo</x:v>
      </x:c>
      <x:c r="D38" s="25" t="str">
        <x:v>Mantener comprobantes y sustentos de pago</x:v>
      </x:c>
      <x:c r="E38" s="25" t="str">
        <x:v>Archivo</x:v>
      </x:c>
      <x:c r="F38" s="25" t="str">
        <x:v>Continua / cierre</x:v>
      </x:c>
      <x:c r="G38" s="25" t="str">
        <x:v>Administradora + apoyo</x:v>
      </x:c>
      <x:c r="H38" s="25" t="str">
        <x:v>Diana / asistente</x:v>
      </x:c>
      <x:c r="I38" s="25" t="str">
        <x:v>Archivo físico y digital</x:v>
      </x:c>
      <x:c r="J38" s="25" t="str">
        <x:v>Alta</x:v>
      </x:c>
      <x:c r="K38" s="25" t="str">
        <x:v>Parcial</x:v>
      </x:c>
      <x:c r="L38" s="25" t="str">
        <x:v>La actualización documental suele postergarse por carga operativa e interrupciones.</x:v>
      </x:c>
      <x:c r="M38" s="25" t="str">
        <x:v>Asistente administrativo</x:v>
      </x:c>
      <x:c r="N38" s="25" t="str">
        <x:v>Validado preliminarmente</x:v>
      </x:c>
      <x:c r="O38" s="25" t="str">
        <x:v>Lista + entrevista</x:v>
      </x:c>
    </x:row>
    <x:row r="39">
      <x:c r="A39" s="25" t="n">
        <x:v>28</x:v>
      </x:c>
      <x:c r="B39" s="25" t="str">
        <x:v>Recursos humanos</x:v>
      </x:c>
      <x:c r="C39" s="25" t="str">
        <x:v>Planillas</x:v>
      </x:c>
      <x:c r="D39" s="25" t="str">
        <x:v>Preparar información de planilla quincenal y mensual</x:v>
      </x:c>
      <x:c r="E39" s="25" t="str">
        <x:v>Coordinación</x:v>
      </x:c>
      <x:c r="F39" s="25" t="str">
        <x:v>Quincenal / mensual</x:v>
      </x:c>
      <x:c r="G39" s="25" t="str">
        <x:v>Administradora</x:v>
      </x:c>
      <x:c r="H39" s="25" t="str">
        <x:v>Estudio contable / Notaria</x:v>
      </x:c>
      <x:c r="I39" s="25" t="str">
        <x:v>Excel / correo</x:v>
      </x:c>
      <x:c r="J39" s="25" t="str">
        <x:v>Alta</x:v>
      </x:c>
      <x:c r="K39" s="25" t="str">
        <x:v>Parcial</x:v>
      </x:c>
      <x:c r="L39" s="25" t="str">
        <x:v>Reúne tardanzas, permisos, vacaciones e incidencias para el cálculo externo.</x:v>
      </x:c>
      <x:c r="M39" s="25" t="str">
        <x:v>Asistente prepara / Administradora valida</x:v>
      </x:c>
      <x:c r="N39" s="25" t="str">
        <x:v>Validado preliminarmente</x:v>
      </x:c>
      <x:c r="O39" s="25" t="str">
        <x:v>Lista</x:v>
      </x:c>
    </x:row>
    <x:row r="40">
      <x:c r="A40" s="25" t="n">
        <x:v>29</x:v>
      </x:c>
      <x:c r="B40" s="25" t="str">
        <x:v>Recursos humanos</x:v>
      </x:c>
      <x:c r="C40" s="25" t="str">
        <x:v>Planillas</x:v>
      </x:c>
      <x:c r="D40" s="25" t="str">
        <x:v>Revisar planilla calculada y descuentos</x:v>
      </x:c>
      <x:c r="E40" s="25" t="str">
        <x:v>Control</x:v>
      </x:c>
      <x:c r="F40" s="25" t="str">
        <x:v>Quincenal / mensual</x:v>
      </x:c>
      <x:c r="G40" s="25" t="str">
        <x:v>Administradora</x:v>
      </x:c>
      <x:c r="H40" s="25" t="str">
        <x:v>Estudio contable / Notaria</x:v>
      </x:c>
      <x:c r="I40" s="25" t="str">
        <x:v>Excel / correo</x:v>
      </x:c>
      <x:c r="J40" s="25" t="str">
        <x:v>Alta</x:v>
      </x:c>
      <x:c r="K40" s="25" t="str">
        <x:v>Parcial</x:v>
      </x:c>
      <x:c r="L40" s="25" t="str">
        <x:v>Control final antes del pago; requiere fuente única de incidencias.</x:v>
      </x:c>
      <x:c r="M40" s="25" t="str">
        <x:v>Administradora</x:v>
      </x:c>
      <x:c r="N40" s="25" t="str">
        <x:v>Validado preliminarmente</x:v>
      </x:c>
      <x:c r="O40" s="25" t="str">
        <x:v>Lista</x:v>
      </x:c>
    </x:row>
    <x:row r="41">
      <x:c r="A41" s="25" t="n">
        <x:v>30</x:v>
      </x:c>
      <x:c r="B41" s="25" t="str">
        <x:v>Recursos humanos</x:v>
      </x:c>
      <x:c r="C41" s="25" t="str">
        <x:v>Contratación</x:v>
      </x:c>
      <x:c r="D41" s="25" t="str">
        <x:v>Preparar contratos y coordinar alta del trabajador</x:v>
      </x:c>
      <x:c r="E41" s="25" t="str">
        <x:v>Coordinación / operativa</x:v>
      </x:c>
      <x:c r="F41" s="25" t="str">
        <x:v>Según ingreso</x:v>
      </x:c>
      <x:c r="G41" s="25" t="str">
        <x:v>Administradora</x:v>
      </x:c>
      <x:c r="H41" s="25" t="str">
        <x:v>Notaria / estudio contable</x:v>
      </x:c>
      <x:c r="I41" s="25" t="str">
        <x:v>Word / correo / SUNAT</x:v>
      </x:c>
      <x:c r="J41" s="25" t="str">
        <x:v>Alta</x:v>
      </x:c>
      <x:c r="K41" s="25" t="str">
        <x:v>Parcial</x:v>
      </x:c>
      <x:c r="L41" s="25" t="str">
        <x:v>Onboarding contiene múltiples documentos, altas y seguimientos concentrados en administración.</x:v>
      </x:c>
      <x:c r="M41" s="25" t="str">
        <x:v>Asistente prepara / Administradora revisa</x:v>
      </x:c>
      <x:c r="N41" s="25" t="str">
        <x:v>Validado preliminarmente</x:v>
      </x:c>
      <x:c r="O41" s="25" t="str">
        <x:v>Entrevista Lisbeth</x:v>
      </x:c>
    </x:row>
    <x:row r="42">
      <x:c r="A42" s="25" t="n">
        <x:v>31</x:v>
      </x:c>
      <x:c r="B42" s="25" t="str">
        <x:v>Recursos humanos</x:v>
      </x:c>
      <x:c r="C42" s="25" t="str">
        <x:v>Onboarding</x:v>
      </x:c>
      <x:c r="D42" s="25" t="str">
        <x:v>Completar legajo, confidencialidad, protección de datos, UIF y documentación de ingreso</x:v>
      </x:c>
      <x:c r="E42" s="25" t="str">
        <x:v>Operativa / control</x:v>
      </x:c>
      <x:c r="F42" s="25" t="str">
        <x:v>Según ingreso</x:v>
      </x:c>
      <x:c r="G42" s="25" t="str">
        <x:v>Administradora</x:v>
      </x:c>
      <x:c r="H42" s="25" t="str">
        <x:v>Trabajador / Notaria</x:v>
      </x:c>
      <x:c r="I42" s="25" t="str">
        <x:v>Documentos / correo / plataformas</x:v>
      </x:c>
      <x:c r="J42" s="25" t="str">
        <x:v>Alta</x:v>
      </x:c>
      <x:c r="K42" s="25" t="str">
        <x:v>Parcial</x:v>
      </x:c>
      <x:c r="L42" s="25" t="str">
        <x:v>Proceso multietapa sin respaldo integral; requiere checklist.</x:v>
      </x:c>
      <x:c r="M42" s="25" t="str">
        <x:v>Asistente administrativo</x:v>
      </x:c>
      <x:c r="N42" s="25" t="str">
        <x:v>Validado preliminarmente</x:v>
      </x:c>
      <x:c r="O42" s="25" t="str">
        <x:v>Entrevista Lisbeth</x:v>
      </x:c>
    </x:row>
    <x:row r="43">
      <x:c r="A43" s="25" t="n">
        <x:v>32</x:v>
      </x:c>
      <x:c r="B43" s="25" t="str">
        <x:v>Recursos humanos</x:v>
      </x:c>
      <x:c r="C43" s="25" t="str">
        <x:v>Seguros</x:v>
      </x:c>
      <x:c r="D43" s="25" t="str">
        <x:v>Gestionar seguro Vida Ley y registro correspondiente</x:v>
      </x:c>
      <x:c r="E43" s="25" t="str">
        <x:v>Operativa / control</x:v>
      </x:c>
      <x:c r="F43" s="25" t="str">
        <x:v>Según ingreso / cambio</x:v>
      </x:c>
      <x:c r="G43" s="25" t="str">
        <x:v>Administradora</x:v>
      </x:c>
      <x:c r="H43" s="25" t="str">
        <x:v>Pacífico / MTPE</x:v>
      </x:c>
      <x:c r="I43" s="25" t="str">
        <x:v>Portal / correo</x:v>
      </x:c>
      <x:c r="J43" s="25" t="str">
        <x:v>Alta</x:v>
      </x:c>
      <x:c r="K43" s="25" t="str">
        <x:v>Parcial</x:v>
      </x:c>
      <x:c r="L43" s="25" t="str">
        <x:v>Incluye cotización, aprobación, pago y registro posterior.</x:v>
      </x:c>
      <x:c r="M43" s="25" t="str">
        <x:v>Asistente prepara / Administradora controla</x:v>
      </x:c>
      <x:c r="N43" s="25" t="str">
        <x:v>Validado preliminarmente</x:v>
      </x:c>
      <x:c r="O43" s="25" t="str">
        <x:v>Entrevista Lisbeth</x:v>
      </x:c>
    </x:row>
    <x:row r="44">
      <x:c r="A44" s="25" t="n">
        <x:v>33</x:v>
      </x:c>
      <x:c r="B44" s="25" t="str">
        <x:v>Recursos humanos</x:v>
      </x:c>
      <x:c r="C44" s="25" t="str">
        <x:v>Salud ocupacional</x:v>
      </x:c>
      <x:c r="D44" s="25" t="str">
        <x:v>Coordinar exámenes médicos y observaciones</x:v>
      </x:c>
      <x:c r="E44" s="25" t="str">
        <x:v>Coordinación</x:v>
      </x:c>
      <x:c r="F44" s="25" t="str">
        <x:v>Anual / según ingreso</x:v>
      </x:c>
      <x:c r="G44" s="25" t="str">
        <x:v>Administradora</x:v>
      </x:c>
      <x:c r="H44" s="25" t="str">
        <x:v>Proveedor médico</x:v>
      </x:c>
      <x:c r="I44" s="25" t="str">
        <x:v>Correo / expedientes</x:v>
      </x:c>
      <x:c r="J44" s="25" t="str">
        <x:v>Alta</x:v>
      </x:c>
      <x:c r="K44" s="25" t="str">
        <x:v>Parcial</x:v>
      </x:c>
      <x:c r="L44" s="25" t="str">
        <x:v>Tiene vencimientos y seguimientos que conviene calendarizar.</x:v>
      </x:c>
      <x:c r="M44" s="25" t="str">
        <x:v>Asistente / calendario de alertas</x:v>
      </x:c>
      <x:c r="N44" s="25" t="str">
        <x:v>Validado preliminarmente</x:v>
      </x:c>
      <x:c r="O44" s="25" t="str">
        <x:v>Lista</x:v>
      </x:c>
    </x:row>
    <x:row r="45">
      <x:c r="A45" s="25" t="n">
        <x:v>34</x:v>
      </x:c>
      <x:c r="B45" s="25" t="str">
        <x:v>Recursos humanos</x:v>
      </x:c>
      <x:c r="C45" s="25" t="str">
        <x:v>SST</x:v>
      </x:c>
      <x:c r="D45" s="25" t="str">
        <x:v>Elaborar y mantener plan/libro anual de SST</x:v>
      </x:c>
      <x:c r="E45" s="25" t="str">
        <x:v>Coordinación / control</x:v>
      </x:c>
      <x:c r="F45" s="25" t="str">
        <x:v>Anual</x:v>
      </x:c>
      <x:c r="G45" s="25" t="str">
        <x:v>Administradora</x:v>
      </x:c>
      <x:c r="H45" s="25" t="str">
        <x:v>Consultor SST / gerencia</x:v>
      </x:c>
      <x:c r="I45" s="25" t="str">
        <x:v>Documentos</x:v>
      </x:c>
      <x:c r="J45" s="25" t="str">
        <x:v>Alta</x:v>
      </x:c>
      <x:c r="K45" s="25" t="str">
        <x:v>Parcial</x:v>
      </x:c>
      <x:c r="L45" s="25" t="str">
        <x:v>Actividad regulatoria con fechas y evidencia documental.</x:v>
      </x:c>
      <x:c r="M45" s="25" t="str">
        <x:v>Compartido con apoyo especializado</x:v>
      </x:c>
      <x:c r="N45" s="25" t="str">
        <x:v>Por validar detalle</x:v>
      </x:c>
      <x:c r="O45" s="25" t="str">
        <x:v>Lista</x:v>
      </x:c>
    </x:row>
    <x:row r="46">
      <x:c r="A46" s="25" t="n">
        <x:v>35</x:v>
      </x:c>
      <x:c r="B46" s="25" t="str">
        <x:v>Recursos humanos</x:v>
      </x:c>
      <x:c r="C46" s="25" t="str">
        <x:v>ONP</x:v>
      </x:c>
      <x:c r="D46" s="25" t="str">
        <x:v>Dar seguimiento y responder solicitudes</x:v>
      </x:c>
      <x:c r="E46" s="25" t="str">
        <x:v>Seguimiento</x:v>
      </x:c>
      <x:c r="F46" s="25" t="str">
        <x:v>Según solicitud</x:v>
      </x:c>
      <x:c r="G46" s="25" t="str">
        <x:v>Administradora</x:v>
      </x:c>
      <x:c r="H46" s="25" t="str">
        <x:v>Estudio / trabajador</x:v>
      </x:c>
      <x:c r="I46" s="25" t="str">
        <x:v>Correo / portal</x:v>
      </x:c>
      <x:c r="J46" s="25" t="str">
        <x:v>Alta</x:v>
      </x:c>
      <x:c r="K46" s="25" t="str">
        <x:v>Parcial</x:v>
      </x:c>
      <x:c r="L46" s="25" t="str">
        <x:v>Casos regulatorios y previsionales requieren registro de plazos.</x:v>
      </x:c>
      <x:c r="M46" s="25" t="str">
        <x:v>Compartido</x:v>
      </x:c>
      <x:c r="N46" s="25" t="str">
        <x:v>Por validar detalle</x:v>
      </x:c>
      <x:c r="O46" s="25" t="str">
        <x:v>Lista</x:v>
      </x:c>
    </x:row>
    <x:row r="47">
      <x:c r="A47" s="25" t="n">
        <x:v>36</x:v>
      </x:c>
      <x:c r="B47" s="25" t="str">
        <x:v>Recursos humanos</x:v>
      </x:c>
      <x:c r="C47" s="25" t="str">
        <x:v>Disciplina</x:v>
      </x:c>
      <x:c r="D47" s="25" t="str">
        <x:v>Preparar memorandos</x:v>
      </x:c>
      <x:c r="E47" s="25" t="str">
        <x:v>Operativa / coordinación</x:v>
      </x:c>
      <x:c r="F47" s="25" t="str">
        <x:v>Según solicitud</x:v>
      </x:c>
      <x:c r="G47" s="25" t="str">
        <x:v>Administradora</x:v>
      </x:c>
      <x:c r="H47" s="25" t="str">
        <x:v>Notaria / jefe / asesor legal</x:v>
      </x:c>
      <x:c r="I47" s="25" t="str">
        <x:v>Word / correo</x:v>
      </x:c>
      <x:c r="J47" s="25" t="str">
        <x:v>Alta</x:v>
      </x:c>
      <x:c r="K47" s="25" t="str">
        <x:v>Parcial</x:v>
      </x:c>
      <x:c r="L47" s="25" t="str">
        <x:v>La decisión disciplinaria debe quedar separada de la preparación documental.</x:v>
      </x:c>
      <x:c r="M47" s="25" t="str">
        <x:v>Administradora prepara / Notaria decide</x:v>
      </x:c>
      <x:c r="N47" s="25" t="str">
        <x:v>Por validar detalle</x:v>
      </x:c>
      <x:c r="O47" s="25" t="str">
        <x:v>Lista</x:v>
      </x:c>
    </x:row>
    <x:row r="48">
      <x:c r="A48" s="25" t="n">
        <x:v>37</x:v>
      </x:c>
      <x:c r="B48" s="25" t="str">
        <x:v>Operación notarial y plataformas</x:v>
      </x:c>
      <x:c r="C48" s="25" t="str">
        <x:v>Migraciones y RENIEC</x:v>
      </x:c>
      <x:c r="D48" s="25" t="str">
        <x:v>Ejecutar pagos de trámites</x:v>
      </x:c>
      <x:c r="E48" s="25" t="str">
        <x:v>Operativa</x:v>
      </x:c>
      <x:c r="F48" s="25" t="str">
        <x:v>Según solicitud</x:v>
      </x:c>
      <x:c r="G48" s="25" t="str">
        <x:v>Administradora</x:v>
      </x:c>
      <x:c r="H48" s="25" t="str">
        <x:v>Área legal</x:v>
      </x:c>
      <x:c r="I48" s="25" t="str">
        <x:v>Portales / banca</x:v>
      </x:c>
      <x:c r="J48" s="25" t="str">
        <x:v>Alta</x:v>
      </x:c>
      <x:c r="K48" s="25" t="str">
        <x:v>Parcial</x:v>
      </x:c>
      <x:c r="L48" s="25" t="str">
        <x:v>Pagos vinculados a trámites deben quedar asociados a kardex/solicitud.</x:v>
      </x:c>
      <x:c r="M48" s="25" t="str">
        <x:v>Asistente prepara / Administradora controla</x:v>
      </x:c>
      <x:c r="N48" s="25" t="str">
        <x:v>Por validar detalle</x:v>
      </x:c>
      <x:c r="O48" s="25" t="str">
        <x:v>Lista</x:v>
      </x:c>
    </x:row>
    <x:row r="49">
      <x:c r="A49" s="25" t="n">
        <x:v>38</x:v>
      </x:c>
      <x:c r="B49" s="25" t="str">
        <x:v>Operación notarial y plataformas</x:v>
      </x:c>
      <x:c r="C49" s="25" t="str">
        <x:v>Biométrico / RENIEC</x:v>
      </x:c>
      <x:c r="D49" s="25" t="str">
        <x:v>Gestionar altas y bajas de usuarios</x:v>
      </x:c>
      <x:c r="E49" s="25" t="str">
        <x:v>Coordinación</x:v>
      </x:c>
      <x:c r="F49" s="25" t="str">
        <x:v>Según ingreso/salida</x:v>
      </x:c>
      <x:c r="G49" s="25" t="str">
        <x:v>Administradora</x:v>
      </x:c>
      <x:c r="H49" s="25" t="str">
        <x:v>RENIEC / TI / Notaria</x:v>
      </x:c>
      <x:c r="I49" s="25" t="str">
        <x:v>Plataformas / correo</x:v>
      </x:c>
      <x:c r="J49" s="25" t="str">
        <x:v>Alta</x:v>
      </x:c>
      <x:c r="K49" s="25" t="str">
        <x:v>Parcial</x:v>
      </x:c>
      <x:c r="L49" s="25" t="str">
        <x:v>Proceso de acceso que requiere autorización y checklist.</x:v>
      </x:c>
      <x:c r="M49" s="25" t="str">
        <x:v>Compartido</x:v>
      </x:c>
      <x:c r="N49" s="25" t="str">
        <x:v>Por validar detalle</x:v>
      </x:c>
      <x:c r="O49" s="25" t="str">
        <x:v>Lista</x:v>
      </x:c>
    </x:row>
    <x:row r="50">
      <x:c r="A50" s="25" t="n">
        <x:v>39</x:v>
      </x:c>
      <x:c r="B50" s="25" t="str">
        <x:v>Operación notarial y plataformas</x:v>
      </x:c>
      <x:c r="C50" s="25" t="str">
        <x:v>Migraciones</x:v>
      </x:c>
      <x:c r="D50" s="25" t="str">
        <x:v>Gestionar altas/bajas de usuarios y documentación</x:v>
      </x:c>
      <x:c r="E50" s="25" t="str">
        <x:v>Coordinación</x:v>
      </x:c>
      <x:c r="F50" s="25" t="str">
        <x:v>Según ingreso/salida</x:v>
      </x:c>
      <x:c r="G50" s="25" t="str">
        <x:v>Administradora</x:v>
      </x:c>
      <x:c r="H50" s="25" t="str">
        <x:v>Migraciones / Notaria</x:v>
      </x:c>
      <x:c r="I50" s="25" t="str">
        <x:v>Portal / documentos</x:v>
      </x:c>
      <x:c r="J50" s="25" t="str">
        <x:v>Alta</x:v>
      </x:c>
      <x:c r="K50" s="25" t="str">
        <x:v>Parcial</x:v>
      </x:c>
      <x:c r="L50" s="25" t="str">
        <x:v>Dependencia de documentación y autorizaciones.</x:v>
      </x:c>
      <x:c r="M50" s="25" t="str">
        <x:v>Compartido</x:v>
      </x:c>
      <x:c r="N50" s="25" t="str">
        <x:v>Por validar detalle</x:v>
      </x:c>
      <x:c r="O50" s="25" t="str">
        <x:v>Lista</x:v>
      </x:c>
    </x:row>
    <x:row r="51">
      <x:c r="A51" s="25" t="n">
        <x:v>40</x:v>
      </x:c>
      <x:c r="B51" s="25" t="str">
        <x:v>Operación notarial y plataformas</x:v>
      </x:c>
      <x:c r="C51" s="25" t="str">
        <x:v>DRA</x:v>
      </x:c>
      <x:c r="D51" s="25" t="str">
        <x:v>Coordinar envío actualizado de certificados</x:v>
      </x:c>
      <x:c r="E51" s="25" t="str">
        <x:v>Coordinación</x:v>
      </x:c>
      <x:c r="F51" s="25" t="str">
        <x:v>Según vencimiento</x:v>
      </x:c>
      <x:c r="G51" s="25" t="str">
        <x:v>Administradora</x:v>
      </x:c>
      <x:c r="H51" s="25" t="str"/>
      <x:c r="I51" s="25" t="str">
        <x:v>Correo / archivos</x:v>
      </x:c>
      <x:c r="J51" s="25" t="str">
        <x:v>Alta</x:v>
      </x:c>
      <x:c r="K51" s="25" t="str">
        <x:v>Parcial</x:v>
      </x:c>
      <x:c r="L51" s="25" t="str">
        <x:v>Conviene manejar por calendario de vigencias.</x:v>
      </x:c>
      <x:c r="M51" s="25" t="str">
        <x:v>Administradora / alertas</x:v>
      </x:c>
      <x:c r="N51" s="25" t="str">
        <x:v>Por validar detalle</x:v>
      </x:c>
      <x:c r="O51" s="25" t="str">
        <x:v>Lista</x:v>
      </x:c>
    </x:row>
    <x:row r="52">
      <x:c r="A52" s="25" t="n">
        <x:v>41</x:v>
      </x:c>
      <x:c r="B52" s="25" t="str">
        <x:v>Operación notarial y plataformas</x:v>
      </x:c>
      <x:c r="C52" s="25" t="str">
        <x:v>Testimonios digitales</x:v>
      </x:c>
      <x:c r="D52" s="25" t="str">
        <x:v>Comprar formatos Serie B y D y gestionar recojo</x:v>
      </x:c>
      <x:c r="E52" s="25" t="str">
        <x:v>Operativa</x:v>
      </x:c>
      <x:c r="F52" s="25" t="str">
        <x:v>Según stock</x:v>
      </x:c>
      <x:c r="G52" s="25" t="str">
        <x:v>Administradora</x:v>
      </x:c>
      <x:c r="H52" s="25" t="str">
        <x:v>CNL</x:v>
      </x:c>
      <x:c r="I52" s="25" t="str">
        <x:v>Portal CNL</x:v>
      </x:c>
      <x:c r="J52" s="25" t="str">
        <x:v>Alta</x:v>
      </x:c>
      <x:c r="K52" s="25" t="str">
        <x:v>Parcial</x:v>
      </x:c>
      <x:c r="L52" s="25" t="str">
        <x:v>Debe controlarse stock mínimo y reposición.</x:v>
      </x:c>
      <x:c r="M52" s="25" t="str">
        <x:v>Asistente administrativo</x:v>
      </x:c>
      <x:c r="N52" s="25" t="str">
        <x:v>Por validar detalle</x:v>
      </x:c>
      <x:c r="O52" s="25" t="str">
        <x:v>Lista</x:v>
      </x:c>
    </x:row>
    <x:row r="53">
      <x:c r="A53" s="25" t="n">
        <x:v>42</x:v>
      </x:c>
      <x:c r="B53" s="25" t="str">
        <x:v>Operación notarial y plataformas</x:v>
      </x:c>
      <x:c r="C53" s="25" t="str">
        <x:v>Firmas digitales</x:v>
      </x:c>
      <x:c r="D53" s="25" t="str">
        <x:v>Adquirir, validar e incrementar firmas digitales</x:v>
      </x:c>
      <x:c r="E53" s="25" t="str">
        <x:v>Coordinación / control</x:v>
      </x:c>
      <x:c r="F53" s="25" t="str">
        <x:v>Según consumo</x:v>
      </x:c>
      <x:c r="G53" s="25" t="str">
        <x:v>Administradora</x:v>
      </x:c>
      <x:c r="H53" s="25" t="str">
        <x:v>CNL / Notaria</x:v>
      </x:c>
      <x:c r="I53" s="25" t="str">
        <x:v>Portal CNL / cuadro control</x:v>
      </x:c>
      <x:c r="J53" s="25" t="str">
        <x:v>Alta</x:v>
      </x:c>
      <x:c r="K53" s="25" t="str">
        <x:v>Parcial</x:v>
      </x:c>
      <x:c r="L53" s="25" t="str">
        <x:v>La administradora controla saldo y solicita recarga por costo/consumo.</x:v>
      </x:c>
      <x:c r="M53" s="25" t="str">
        <x:v>Administradora + alertas</x:v>
      </x:c>
      <x:c r="N53" s="25" t="str">
        <x:v>Validado preliminarmente</x:v>
      </x:c>
      <x:c r="O53" s="25" t="str">
        <x:v>Entrevista Lisbeth</x:v>
      </x:c>
    </x:row>
    <x:row r="54">
      <x:c r="A54" s="25" t="n">
        <x:v>43</x:v>
      </x:c>
      <x:c r="B54" s="25" t="str">
        <x:v>Operación notarial y plataformas</x:v>
      </x:c>
      <x:c r="C54" s="25" t="str">
        <x:v>Testimonios digitales</x:v>
      </x:c>
      <x:c r="D54" s="25" t="str">
        <x:v>Firmar testimonios adicionales</x:v>
      </x:c>
      <x:c r="E54" s="25" t="str">
        <x:v>Operativa</x:v>
      </x:c>
      <x:c r="F54" s="25" t="str">
        <x:v>Según demanda</x:v>
      </x:c>
      <x:c r="G54" s="25" t="str">
        <x:v>Administradora</x:v>
      </x:c>
      <x:c r="H54" s="25" t="str">
        <x:v>Área legal / Notaria</x:v>
      </x:c>
      <x:c r="I54" s="25" t="str">
        <x:v>Plataforma CNL</x:v>
      </x:c>
      <x:c r="J54" s="25" t="str">
        <x:v>Alta</x:v>
      </x:c>
      <x:c r="K54" s="25" t="str">
        <x:v>No</x:v>
      </x:c>
      <x:c r="L54" s="25" t="str">
        <x:v>Debe precisarse qué significa firmar y la autorización jurídica asociada.</x:v>
      </x:c>
      <x:c r="M54" s="25" t="str">
        <x:v>Por definir</x:v>
      </x:c>
      <x:c r="N54" s="25" t="str">
        <x:v>Por validar detalle</x:v>
      </x:c>
      <x:c r="O54" s="25" t="str">
        <x:v>Lista</x:v>
      </x:c>
    </x:row>
    <x:row r="55">
      <x:c r="A55" s="25" t="n">
        <x:v>44</x:v>
      </x:c>
      <x:c r="B55" s="25" t="str">
        <x:v>Operación notarial y plataformas</x:v>
      </x:c>
      <x:c r="C55" s="25" t="str">
        <x:v>SUNARP</x:v>
      </x:c>
      <x:c r="D55" s="25" t="str">
        <x:v>Verificar fondo de cada kardex antes de presentación</x:v>
      </x:c>
      <x:c r="E55" s="25" t="str">
        <x:v>Control</x:v>
      </x:c>
      <x:c r="F55" s="25" t="str">
        <x:v>Por operación</x:v>
      </x:c>
      <x:c r="G55" s="25" t="str">
        <x:v>Administradora</x:v>
      </x:c>
      <x:c r="H55" s="25" t="str">
        <x:v>Área legal / caja</x:v>
      </x:c>
      <x:c r="I55" s="25" t="str">
        <x:v>Sistema / kardex / SUNARP</x:v>
      </x:c>
      <x:c r="J55" s="25" t="str">
        <x:v>Alta</x:v>
      </x:c>
      <x:c r="K55" s="25" t="str">
        <x:v>Sí</x:v>
      </x:c>
      <x:c r="L55" s="25" t="str">
        <x:v>Revisión uno a uno; si no hay fondo requiere autorización/crédito antes de presentar.</x:v>
      </x:c>
      <x:c r="M55" s="25" t="str">
        <x:v>Asistente prepara / Administración controla</x:v>
      </x:c>
      <x:c r="N55" s="25" t="str">
        <x:v>Validado preliminarmente</x:v>
      </x:c>
      <x:c r="O55" s="25" t="str">
        <x:v>Entrevista Lisbeth</x:v>
      </x:c>
    </x:row>
    <x:row r="56">
      <x:c r="A56" s="25" t="n">
        <x:v>45</x:v>
      </x:c>
      <x:c r="B56" s="25" t="str">
        <x:v>Operación notarial y plataformas</x:v>
      </x:c>
      <x:c r="C56" s="25" t="str">
        <x:v>SUNARP</x:v>
      </x:c>
      <x:c r="D56" s="25" t="str">
        <x:v>Recargar fondos y comunicar importe</x:v>
      </x:c>
      <x:c r="E56" s="25" t="str">
        <x:v>Operativa / control</x:v>
      </x:c>
      <x:c r="F56" s="25" t="str">
        <x:v>Según solicitud</x:v>
      </x:c>
      <x:c r="G56" s="25" t="str">
        <x:v>Administradora</x:v>
      </x:c>
      <x:c r="H56" s="25" t="str">
        <x:v>Notaria / área legal</x:v>
      </x:c>
      <x:c r="I56" s="25" t="str">
        <x:v>SUNARP / banca / correo</x:v>
      </x:c>
      <x:c r="J56" s="25" t="str">
        <x:v>Alta</x:v>
      </x:c>
      <x:c r="K56" s="25" t="str">
        <x:v>Parcial</x:v>
      </x:c>
      <x:c r="L56" s="25" t="str">
        <x:v>Debe vincularse cada recarga con kardex y recuperación al cliente.</x:v>
      </x:c>
      <x:c r="M56" s="25" t="str">
        <x:v>Asistente prepara / Administradora controla</x:v>
      </x:c>
      <x:c r="N56" s="25" t="str">
        <x:v>Validado preliminarmente</x:v>
      </x:c>
      <x:c r="O56" s="25" t="str">
        <x:v>Lista</x:v>
      </x:c>
    </x:row>
    <x:row r="57">
      <x:c r="A57" s="25" t="n">
        <x:v>46</x:v>
      </x:c>
      <x:c r="B57" s="25" t="str">
        <x:v>Operación notarial y plataformas</x:v>
      </x:c>
      <x:c r="C57" s="25" t="str">
        <x:v>SUNARP</x:v>
      </x:c>
      <x:c r="D57" s="25" t="str">
        <x:v>Gestionar presentaciones, subsanaciones, desistimientos y liquidaciones</x:v>
      </x:c>
      <x:c r="E57" s="25" t="str">
        <x:v>Operativa / coordinación</x:v>
      </x:c>
      <x:c r="F57" s="25" t="str">
        <x:v>Según solicitud</x:v>
      </x:c>
      <x:c r="G57" s="25" t="str">
        <x:v>Administradora</x:v>
      </x:c>
      <x:c r="H57" s="25" t="str">
        <x:v>Notaria / abogado</x:v>
      </x:c>
      <x:c r="I57" s="25" t="str">
        <x:v>SUNARP</x:v>
      </x:c>
      <x:c r="J57" s="25" t="str">
        <x:v>Alta</x:v>
      </x:c>
      <x:c r="K57" s="25" t="str">
        <x:v>Parcial</x:v>
      </x:c>
      <x:c r="L57" s="25" t="str">
        <x:v>Debe separarse decisión legal de ejecución administrativa/pago.</x:v>
      </x:c>
      <x:c r="M57" s="25" t="str">
        <x:v>Compartido con área legal</x:v>
      </x:c>
      <x:c r="N57" s="25" t="str">
        <x:v>Por validar detalle</x:v>
      </x:c>
      <x:c r="O57" s="25" t="str">
        <x:v>Lista</x:v>
      </x:c>
    </x:row>
    <x:row r="58">
      <x:c r="A58" s="25" t="n">
        <x:v>47</x:v>
      </x:c>
      <x:c r="B58" s="25" t="str">
        <x:v>Operación notarial y plataformas</x:v>
      </x:c>
      <x:c r="C58" s="25" t="str">
        <x:v>Extranet</x:v>
      </x:c>
      <x:c r="D58" s="25" t="str">
        <x:v>Recargar saldo y solicitar detalle de gastos</x:v>
      </x:c>
      <x:c r="E58" s="25" t="str">
        <x:v>Control</x:v>
      </x:c>
      <x:c r="F58" s="25" t="str">
        <x:v>Según necesidad</x:v>
      </x:c>
      <x:c r="G58" s="25" t="str">
        <x:v>Administradora</x:v>
      </x:c>
      <x:c r="H58" s="25" t="str">
        <x:v>Área usuaria</x:v>
      </x:c>
      <x:c r="I58" s="25" t="str">
        <x:v>Extranet / correo / banca</x:v>
      </x:c>
      <x:c r="J58" s="25" t="str">
        <x:v>Alta</x:v>
      </x:c>
      <x:c r="K58" s="25" t="str">
        <x:v>Parcial</x:v>
      </x:c>
      <x:c r="L58" s="25" t="str">
        <x:v>Fondo debe tener trazabilidad de consumo y rendición.</x:v>
      </x:c>
      <x:c r="M58" s="25" t="str">
        <x:v>Administradora / asistente</x:v>
      </x:c>
      <x:c r="N58" s="25" t="str">
        <x:v>Por validar detalle</x:v>
      </x:c>
      <x:c r="O58" s="25" t="str">
        <x:v>Lista</x:v>
      </x:c>
    </x:row>
    <x:row r="59">
      <x:c r="A59" s="25" t="n">
        <x:v>48</x:v>
      </x:c>
      <x:c r="B59" s="25" t="str">
        <x:v>Operación notarial y plataformas</x:v>
      </x:c>
      <x:c r="C59" s="25" t="str">
        <x:v>SAT</x:v>
      </x:c>
      <x:c r="D59" s="25" t="str">
        <x:v>Gestionar firma de alcabalas solicitadas por área legal</x:v>
      </x:c>
      <x:c r="E59" s="25" t="str">
        <x:v>Operativa / coordinación</x:v>
      </x:c>
      <x:c r="F59" s="25" t="str">
        <x:v>Según solicitud</x:v>
      </x:c>
      <x:c r="G59" s="25" t="str">
        <x:v>Administradora</x:v>
      </x:c>
      <x:c r="H59" s="25" t="str">
        <x:v>Área legal / Notaria</x:v>
      </x:c>
      <x:c r="I59" s="25" t="str">
        <x:v>SAT</x:v>
      </x:c>
      <x:c r="J59" s="25" t="str">
        <x:v>Alta</x:v>
      </x:c>
      <x:c r="K59" s="25" t="str">
        <x:v>No</x:v>
      </x:c>
      <x:c r="L59" s="25" t="str">
        <x:v>Debe aclararse naturaleza de la firma y autorización.</x:v>
      </x:c>
      <x:c r="M59" s="25" t="str">
        <x:v>Por definir</x:v>
      </x:c>
      <x:c r="N59" s="25" t="str">
        <x:v>Por validar detalle</x:v>
      </x:c>
      <x:c r="O59" s="25" t="str">
        <x:v>Lista</x:v>
      </x:c>
    </x:row>
    <x:row r="60">
      <x:c r="A60" s="25" t="n">
        <x:v>49</x:v>
      </x:c>
      <x:c r="B60" s="25" t="str">
        <x:v>Cumplimiento y reclamos</x:v>
      </x:c>
      <x:c r="C60" s="25" t="str">
        <x:v>Buzones electrónicos</x:v>
      </x:c>
      <x:c r="D60" s="25" t="str">
        <x:v>Revisar buzones de SUNAT, SUNAFIL, AFP, ONP, INDECOPI</x:v>
      </x:c>
      <x:c r="E60" s="25" t="str">
        <x:v>Seguimiento</x:v>
      </x:c>
      <x:c r="F60" s="25" t="str">
        <x:v>Diaria</x:v>
      </x:c>
      <x:c r="G60" s="25" t="str">
        <x:v>Administradora</x:v>
      </x:c>
      <x:c r="H60" s="25" t="str">
        <x:v>Notaria / estudio / abogado</x:v>
      </x:c>
      <x:c r="I60" s="25" t="str">
        <x:v>Portales / correo</x:v>
      </x:c>
      <x:c r="J60" s="25" t="str">
        <x:v>Alta</x:v>
      </x:c>
      <x:c r="K60" s="25" t="str">
        <x:v>Parcial</x:v>
      </x:c>
      <x:c r="L60" s="25" t="str">
        <x:v>Múltiples vencimientos legales dependen de revisión y derivación oportuna.</x:v>
      </x:c>
      <x:c r="M60" s="25" t="str">
        <x:v>Registro central + responsables</x:v>
      </x:c>
      <x:c r="N60" s="25" t="str">
        <x:v>Validado preliminarmente</x:v>
      </x:c>
      <x:c r="O60" s="25" t="str">
        <x:v>Lista</x:v>
      </x:c>
    </x:row>
    <x:row r="61">
      <x:c r="A61" s="25" t="n">
        <x:v>50</x:v>
      </x:c>
      <x:c r="B61" s="25" t="str">
        <x:v>Cumplimiento y reclamos</x:v>
      </x:c>
      <x:c r="C61" s="25" t="str">
        <x:v>Reclamos</x:v>
      </x:c>
      <x:c r="D61" s="25" t="str">
        <x:v>Atender quejas/reclamos y buscar solución</x:v>
      </x:c>
      <x:c r="E61" s="25" t="str">
        <x:v>Análisis / atención</x:v>
      </x:c>
      <x:c r="F61" s="25" t="str">
        <x:v>Según solicitud</x:v>
      </x:c>
      <x:c r="G61" s="25" t="str">
        <x:v>Administradora</x:v>
      </x:c>
      <x:c r="H61" s="25" t="str">
        <x:v>Área involucrada / Notaria</x:v>
      </x:c>
      <x:c r="I61" s="25" t="str">
        <x:v>Libro / correo / conversación</x:v>
      </x:c>
      <x:c r="J61" s="25" t="str">
        <x:v>Alta</x:v>
      </x:c>
      <x:c r="K61" s="25" t="str">
        <x:v>Parcial</x:v>
      </x:c>
      <x:c r="L61" s="25" t="str">
        <x:v>Lisbeth analiza el caso y busca alternativas antes de devolución; consume tiempo no planificado.</x:v>
      </x:c>
      <x:c r="M61" s="25" t="str">
        <x:v>Administradora + área responsable</x:v>
      </x:c>
      <x:c r="N61" s="25" t="str">
        <x:v>Validado preliminarmente</x:v>
      </x:c>
      <x:c r="O61" s="25" t="str">
        <x:v>Entrevista Lisbeth</x:v>
      </x:c>
    </x:row>
    <x:row r="62">
      <x:c r="A62" s="25" t="n">
        <x:v>51</x:v>
      </x:c>
      <x:c r="B62" s="25" t="str">
        <x:v>Cumplimiento y reclamos</x:v>
      </x:c>
      <x:c r="C62" s="25" t="str">
        <x:v>SUNAFIL</x:v>
      </x:c>
      <x:c r="D62" s="25" t="str">
        <x:v>Dar seguimiento y responder requerimientos</x:v>
      </x:c>
      <x:c r="E62" s="25" t="str">
        <x:v>Seguimiento</x:v>
      </x:c>
      <x:c r="F62" s="25" t="str">
        <x:v>Según solicitud</x:v>
      </x:c>
      <x:c r="G62" s="25" t="str">
        <x:v>Administradora</x:v>
      </x:c>
      <x:c r="H62" s="25" t="str">
        <x:v>Notaria / estudio / abogado</x:v>
      </x:c>
      <x:c r="I62" s="25" t="str">
        <x:v>Correo / portal / archivo</x:v>
      </x:c>
      <x:c r="J62" s="25" t="str">
        <x:v>Alta</x:v>
      </x:c>
      <x:c r="K62" s="25" t="str">
        <x:v>Parcial</x:v>
      </x:c>
      <x:c r="L62" s="25" t="str">
        <x:v>Necesita dueño, plazo, evidencia y aprobación definidos.</x:v>
      </x:c>
      <x:c r="M62" s="25" t="str">
        <x:v>Compartido</x:v>
      </x:c>
      <x:c r="N62" s="25" t="str">
        <x:v>Por validar detalle</x:v>
      </x:c>
      <x:c r="O62" s="25" t="str">
        <x:v>Lista</x:v>
      </x:c>
    </x:row>
    <x:row r="63">
      <x:c r="A63" s="25" t="n">
        <x:v>52</x:v>
      </x:c>
      <x:c r="B63" s="25" t="str">
        <x:v>Cumplimiento y reclamos</x:v>
      </x:c>
      <x:c r="C63" s="25" t="str">
        <x:v>GESSOL</x:v>
      </x:c>
      <x:c r="D63" s="25" t="str">
        <x:v>Dar seguimiento a oficios y coordinar respuesta</x:v>
      </x:c>
      <x:c r="E63" s="25" t="str">
        <x:v>Seguimiento</x:v>
      </x:c>
      <x:c r="F63" s="25" t="str">
        <x:v>Según solicitud</x:v>
      </x:c>
      <x:c r="G63" s="25" t="str">
        <x:v>Administradora</x:v>
      </x:c>
      <x:c r="H63" s="25" t="str">
        <x:v>Edith / área legal</x:v>
      </x:c>
      <x:c r="I63" s="25" t="str">
        <x:v>GESSOL / correo</x:v>
      </x:c>
      <x:c r="J63" s="25" t="str">
        <x:v>Alta</x:v>
      </x:c>
      <x:c r="K63" s="25" t="str">
        <x:v>Parcial</x:v>
      </x:c>
      <x:c r="L63" s="25" t="str">
        <x:v>Riesgo de vencimiento y pérdida de trazabilidad.</x:v>
      </x:c>
      <x:c r="M63" s="25" t="str">
        <x:v>Compartido</x:v>
      </x:c>
      <x:c r="N63" s="25" t="str">
        <x:v>Por validar detalle</x:v>
      </x:c>
      <x:c r="O63" s="25" t="str">
        <x:v>Lista</x:v>
      </x:c>
    </x:row>
    <x:row r="64">
      <x:c r="A64" s="25" t="n">
        <x:v>53</x:v>
      </x:c>
      <x:c r="B64" s="25" t="str">
        <x:v>Cumplimiento y reclamos</x:v>
      </x:c>
      <x:c r="C64" s="25" t="str">
        <x:v>INEI</x:v>
      </x:c>
      <x:c r="D64" s="25" t="str">
        <x:v>Responder encuestas solicitadas</x:v>
      </x:c>
      <x:c r="E64" s="25" t="str">
        <x:v>Operativa</x:v>
      </x:c>
      <x:c r="F64" s="25" t="str">
        <x:v>Eventual</x:v>
      </x:c>
      <x:c r="G64" s="25" t="str">
        <x:v>Administradora</x:v>
      </x:c>
      <x:c r="H64" s="25" t="str">
        <x:v>Gerencia / contabilidad</x:v>
      </x:c>
      <x:c r="I64" s="25" t="str">
        <x:v>Formulario / portal</x:v>
      </x:c>
      <x:c r="J64" s="25" t="str">
        <x:v>Media</x:v>
      </x:c>
      <x:c r="K64" s="25" t="str">
        <x:v>Parcial</x:v>
      </x:c>
      <x:c r="L64" s="25" t="str">
        <x:v>Requiere recopilar datos de varias fuentes.</x:v>
      </x:c>
      <x:c r="M64" s="25" t="str">
        <x:v>Compartido</x:v>
      </x:c>
      <x:c r="N64" s="25" t="str">
        <x:v>Por validar detalle</x:v>
      </x:c>
      <x:c r="O64" s="25" t="str">
        <x:v>Lista</x:v>
      </x:c>
    </x:row>
    <x:row r="65">
      <x:c r="A65" s="25" t="n">
        <x:v>54</x:v>
      </x:c>
      <x:c r="B65" s="25" t="str">
        <x:v>Tecnología y soporte</x:v>
      </x:c>
      <x:c r="C65" s="25" t="str">
        <x:v>Soporte TI</x:v>
      </x:c>
      <x:c r="D65" s="25" t="str">
        <x:v>Coordinar incidencias de sistemas, red y equipos</x:v>
      </x:c>
      <x:c r="E65" s="25" t="str">
        <x:v>Coordinación</x:v>
      </x:c>
      <x:c r="F65" s="25" t="str">
        <x:v>Según incidencia</x:v>
      </x:c>
      <x:c r="G65" s="25" t="str">
        <x:v>Administradora</x:v>
      </x:c>
      <x:c r="H65" s="25" t="str">
        <x:v>Ing. Velásquez / Gabriel</x:v>
      </x:c>
      <x:c r="I65" s="25" t="str">
        <x:v>Correo / teléfono / remoto</x:v>
      </x:c>
      <x:c r="J65" s="25" t="str">
        <x:v>Alta</x:v>
      </x:c>
      <x:c r="K65" s="25" t="str">
        <x:v>Parcial</x:v>
      </x:c>
      <x:c r="L65" s="25" t="str">
        <x:v>Administración sigue siendo nexo con el técnico; conviene registrar incidencias y responsables.</x:v>
      </x:c>
      <x:c r="M65" s="25" t="str">
        <x:v>Gabriel coordina físico / Ing. Velásquez TI / Admin escala</x:v>
      </x:c>
      <x:c r="N65" s="25" t="str">
        <x:v>Validado preliminarmente</x:v>
      </x:c>
      <x:c r="O65" s="25" t="str">
        <x:v>Lista + entrevista</x:v>
      </x:c>
    </x:row>
    <x:row r="66">
      <x:c r="A66" s="25" t="n">
        <x:v>55</x:v>
      </x:c>
      <x:c r="B66" s="25" t="str">
        <x:v>Compras y abastecimiento</x:v>
      </x:c>
      <x:c r="C66" s="25" t="str">
        <x:v>Abastecimiento</x:v>
      </x:c>
      <x:c r="D66" s="25" t="str">
        <x:v>Gestionar útiles, insumos e inventarios</x:v>
      </x:c>
      <x:c r="E66" s="25" t="str">
        <x:v>Operativa / control</x:v>
      </x:c>
      <x:c r="F66" s="25" t="str">
        <x:v>Continua</x:v>
      </x:c>
      <x:c r="G66" s="25" t="str">
        <x:v>Marlon</x:v>
      </x:c>
      <x:c r="H66" s="25" t="str">
        <x:v>Administradora</x:v>
      </x:c>
      <x:c r="I66" s="25" t="str">
        <x:v>Inventario / solicitudes</x:v>
      </x:c>
      <x:c r="J66" s="25" t="str">
        <x:v>Media</x:v>
      </x:c>
      <x:c r="K66" s="25" t="str">
        <x:v>Parcial</x:v>
      </x:c>
      <x:c r="L66" s="25" t="str">
        <x:v>Función delegada recientemente a Marlon; todavía debe formalizarse alcance y reporte.</x:v>
      </x:c>
      <x:c r="M66" s="25" t="str">
        <x:v>Marlon</x:v>
      </x:c>
      <x:c r="N66" s="25" t="str">
        <x:v>Validado preliminarmente</x:v>
      </x:c>
      <x:c r="O66" s="25" t="str">
        <x:v>Entrevista Lisbeth</x:v>
      </x:c>
    </x:row>
    <x:row r="67">
      <x:c r="A67" s="25" t="n">
        <x:v>56</x:v>
      </x:c>
      <x:c r="B67" s="25" t="str">
        <x:v>Compras y abastecimiento</x:v>
      </x:c>
      <x:c r="C67" s="25" t="str">
        <x:v>Compras</x:v>
      </x:c>
      <x:c r="D67" s="25" t="str">
        <x:v>Coordinar compras con proveedores</x:v>
      </x:c>
      <x:c r="E67" s="25" t="str">
        <x:v>Coordinación</x:v>
      </x:c>
      <x:c r="F67" s="25" t="str">
        <x:v>Según necesidad</x:v>
      </x:c>
      <x:c r="G67" s="25" t="str">
        <x:v>Marlon</x:v>
      </x:c>
      <x:c r="H67" s="25" t="str">
        <x:v>Administradora / Notaria</x:v>
      </x:c>
      <x:c r="I67" s="25" t="str">
        <x:v>Correo / teléfono / comprobantes</x:v>
      </x:c>
      <x:c r="J67" s="25" t="str">
        <x:v>Media</x:v>
      </x:c>
      <x:c r="K67" s="25" t="str">
        <x:v>Parcial</x:v>
      </x:c>
      <x:c r="L67" s="25" t="str">
        <x:v>Debe definirse umbral de aprobación y trazabilidad de solicitud-compra.</x:v>
      </x:c>
      <x:c r="M67" s="25" t="str">
        <x:v>Marlon prepara / Administradora supervisa</x:v>
      </x:c>
      <x:c r="N67" s="25" t="str">
        <x:v>Validado preliminarmente</x:v>
      </x:c>
      <x:c r="O67" s="25" t="str">
        <x:v>Entrevista Lisbeth</x:v>
      </x:c>
    </x:row>
    <x:row r="68">
      <x:c r="A68" s="25" t="n">
        <x:v>57</x:v>
      </x:c>
      <x:c r="B68" s="25" t="str">
        <x:v>Mantenimiento y seguridad</x:v>
      </x:c>
      <x:c r="C68" s="25" t="str">
        <x:v>Mantenimiento</x:v>
      </x:c>
      <x:c r="D68" s="25" t="str">
        <x:v>Coordinar mantenimiento de instalaciones, equipos y aires</x:v>
      </x:c>
      <x:c r="E68" s="25" t="str">
        <x:v>Coordinación</x:v>
      </x:c>
      <x:c r="F68" s="25" t="str">
        <x:v>Preventiva / según incidencia</x:v>
      </x:c>
      <x:c r="G68" s="25" t="str">
        <x:v>Gabriel</x:v>
      </x:c>
      <x:c r="H68" s="25" t="str">
        <x:v>Administradora / técnicos</x:v>
      </x:c>
      <x:c r="I68" s="25" t="str">
        <x:v>Correo / teléfono</x:v>
      </x:c>
      <x:c r="J68" s="25" t="str">
        <x:v>Alta</x:v>
      </x:c>
      <x:c r="K68" s="25" t="str">
        <x:v>Parcial</x:v>
      </x:c>
      <x:c r="L68" s="25" t="str">
        <x:v>Función delegada recientemente a Gabriel; debe formalizarse calendario y reporte.</x:v>
      </x:c>
      <x:c r="M68" s="25" t="str">
        <x:v>Gabriel</x:v>
      </x:c>
      <x:c r="N68" s="25" t="str">
        <x:v>Validado preliminarmente</x:v>
      </x:c>
      <x:c r="O68" s="25" t="str">
        <x:v>Entrevista Lisbeth</x:v>
      </x:c>
    </x:row>
    <x:row r="69">
      <x:c r="A69" s="25" t="n">
        <x:v>58</x:v>
      </x:c>
      <x:c r="B69" s="25" t="str">
        <x:v>Mantenimiento y seguridad</x:v>
      </x:c>
      <x:c r="C69" s="25" t="str">
        <x:v>Licencias</x:v>
      </x:c>
      <x:c r="D69" s="25" t="str">
        <x:v>Gestionar municipalidad, INDECI, licencia e ITSE</x:v>
      </x:c>
      <x:c r="E69" s="25" t="str">
        <x:v>Coordinación</x:v>
      </x:c>
      <x:c r="F69" s="25" t="str">
        <x:v>Anual / eventual</x:v>
      </x:c>
      <x:c r="G69" s="25" t="str">
        <x:v>Gabriel</x:v>
      </x:c>
      <x:c r="H69" s="25" t="str">
        <x:v>Administradora / proveedor</x:v>
      </x:c>
      <x:c r="I69" s="25" t="str">
        <x:v>Portales / expediente</x:v>
      </x:c>
      <x:c r="J69" s="25" t="str">
        <x:v>Alta</x:v>
      </x:c>
      <x:c r="K69" s="25" t="str">
        <x:v>Parcial</x:v>
      </x:c>
      <x:c r="L69" s="25" t="str">
        <x:v>Gabriel realiza seguimiento físico/presencial; Lisbeth continúa como punto de escalamiento.</x:v>
      </x:c>
      <x:c r="M69" s="25" t="str">
        <x:v>Gabriel / Administradora supervisa</x:v>
      </x:c>
      <x:c r="N69" s="25" t="str">
        <x:v>Validado preliminarmente</x:v>
      </x:c>
      <x:c r="O69" s="25" t="str">
        <x:v>Entrevista Lisbeth</x:v>
      </x:c>
    </x:row>
    <x:row r="70">
      <x:c r="A70" s="25" t="n">
        <x:v>59</x:v>
      </x:c>
      <x:c r="B70" s="25" t="str">
        <x:v>Mantenimiento y seguridad</x:v>
      </x:c>
      <x:c r="C70" s="25" t="str">
        <x:v>Instalaciones</x:v>
      </x:c>
      <x:c r="D70" s="25" t="str">
        <x:v>Revisar pozo a tierra y sistemas contra incendios</x:v>
      </x:c>
      <x:c r="E70" s="25" t="str">
        <x:v>Coordinación</x:v>
      </x:c>
      <x:c r="F70" s="25" t="str">
        <x:v>Anual</x:v>
      </x:c>
      <x:c r="G70" s="25" t="str">
        <x:v>Gabriel</x:v>
      </x:c>
      <x:c r="H70" s="25" t="str">
        <x:v>Técnico / Administradora</x:v>
      </x:c>
      <x:c r="I70" s="25" t="str">
        <x:v>Certificados / correo</x:v>
      </x:c>
      <x:c r="J70" s="25" t="str">
        <x:v>Alta</x:v>
      </x:c>
      <x:c r="K70" s="25" t="str">
        <x:v>Parcial</x:v>
      </x:c>
      <x:c r="L70" s="25" t="str">
        <x:v>Debe integrarse a un calendario anual de mantenimiento y vigencias.</x:v>
      </x:c>
      <x:c r="M70" s="25" t="str">
        <x:v>Gabriel</x:v>
      </x:c>
      <x:c r="N70" s="25" t="str">
        <x:v>Por validar detalle</x:v>
      </x:c>
      <x:c r="O70" s="25" t="str">
        <x:v>Lista + entrevista</x:v>
      </x:c>
    </x:row>
    <x:row r="71">
      <x:c r="A71" s="25" t="n">
        <x:v>60</x:v>
      </x:c>
      <x:c r="B71" s="25" t="str">
        <x:v>Mantenimiento y seguridad</x:v>
      </x:c>
      <x:c r="C71" s="25" t="str">
        <x:v>Extintores</x:v>
      </x:c>
      <x:c r="D71" s="25" t="str">
        <x:v>Coordinar recarga de extintores</x:v>
      </x:c>
      <x:c r="E71" s="25" t="str">
        <x:v>Coordinación</x:v>
      </x:c>
      <x:c r="F71" s="25" t="str">
        <x:v>Anual</x:v>
      </x:c>
      <x:c r="G71" s="25" t="str">
        <x:v>Gabriel</x:v>
      </x:c>
      <x:c r="H71" s="25" t="str">
        <x:v>Proveedor / Administradora</x:v>
      </x:c>
      <x:c r="I71" s="25" t="str">
        <x:v>Certificados / correo</x:v>
      </x:c>
      <x:c r="J71" s="25" t="str">
        <x:v>Alta</x:v>
      </x:c>
      <x:c r="K71" s="25" t="str">
        <x:v>Parcial</x:v>
      </x:c>
      <x:c r="L71" s="25" t="str">
        <x:v>Control sencillo por vencimiento e inventario.</x:v>
      </x:c>
      <x:c r="M71" s="25" t="str">
        <x:v>Gabriel</x:v>
      </x:c>
      <x:c r="N71" s="25" t="str">
        <x:v>Por validar detalle</x:v>
      </x:c>
      <x:c r="O71" s="25" t="str">
        <x:v>Lista + entrevista</x:v>
      </x:c>
    </x:row>
    <x:row r="72">
      <x:c r="A72" s="25" t="n">
        <x:v>61</x:v>
      </x:c>
      <x:c r="B72" s="25" t="str">
        <x:v>Administración general</x:v>
      </x:c>
      <x:c r="C72" s="25" t="str">
        <x:v>Pendientes e interrupciones</x:v>
      </x:c>
      <x:c r="D72" s="25" t="str">
        <x:v>Atender solicitudes imprevistas de la notaria, abogados y colaboradores</x:v>
      </x:c>
      <x:c r="E72" s="25" t="str">
        <x:v>Coordinación / atención</x:v>
      </x:c>
      <x:c r="F72" s="25" t="str">
        <x:v>Diaria</x:v>
      </x:c>
      <x:c r="G72" s="25" t="str">
        <x:v>Administradora</x:v>
      </x:c>
      <x:c r="H72" s="25" t="str">
        <x:v>Toda la organización</x:v>
      </x:c>
      <x:c r="I72" s="25" t="str">
        <x:v>Correo / verbal / WhatsApp</x:v>
      </x:c>
      <x:c r="J72" s="25" t="str">
        <x:v>Alta</x:v>
      </x:c>
      <x:c r="K72" s="25" t="str">
        <x:v>Parcial</x:v>
      </x:c>
      <x:c r="L72" s="25" t="str">
        <x:v>Las interrupciones desplazan el trabajo planificado y fragmentan la jornada.</x:v>
      </x:c>
      <x:c r="M72" s="25" t="str">
        <x:v>Canal único + reglas de prioridad</x:v>
      </x:c>
      <x:c r="N72" s="25" t="str">
        <x:v>Validado preliminarmente</x:v>
      </x:c>
      <x:c r="O72" s="25" t="str">
        <x:v>Entrevista Lisbeth</x:v>
      </x:c>
    </x:row>
    <x:row r="73">
      <x:c r="A73" s="29" t="n">
        <x:v>62</x:v>
      </x:c>
      <x:c r="B73" s="29" t="str">
        <x:v>Administración general</x:v>
      </x:c>
      <x:c r="C73" s="29" t="str">
        <x:v>Supervisión y reporting</x:v>
      </x:c>
      <x:c r="D73" s="29" t="str">
        <x:v>Consolidar y presentar reportes a la notaria</x:v>
      </x:c>
      <x:c r="E73" s="29" t="str">
        <x:v>Control / reporte</x:v>
      </x:c>
      <x:c r="F73" s="29" t="str">
        <x:v>Diaria / periódica</x:v>
      </x:c>
      <x:c r="G73" s="29" t="str">
        <x:v>Administradora</x:v>
      </x:c>
      <x:c r="H73" s="29" t="str">
        <x:v>Diana / áreas / estudio</x:v>
      </x:c>
      <x:c r="I73" s="29" t="str">
        <x:v>Correo / Excel / sistema</x:v>
      </x:c>
      <x:c r="J73" s="29" t="str">
        <x:v>Alta</x:v>
      </x:c>
      <x:c r="K73" s="29" t="str">
        <x:v>Sí</x:v>
      </x:c>
      <x:c r="L73" s="29" t="str">
        <x:v>La doctora solicita cuadros y reportes; hoy existen reportes diarios pero no dashboard consolidado.</x:v>
      </x:c>
      <x:c r="M73" s="29" t="str">
        <x:v>Administradora + dashboard</x:v>
      </x:c>
      <x:c r="N73" s="29" t="str">
        <x:v>Validado preliminarmente</x:v>
      </x:c>
      <x:c r="O73" s="29" t="str">
        <x:v>Entrevista + audio complementario</x:v>
      </x:c>
    </x:row>
  </x:sheetData>
  <x:mergeCells>
    <x:mergeCell ref="A1:O1"/>
    <x:mergeCell ref="B2:O2"/>
  </x:mergeCells>
  <x:conditionalFormatting sqref="J12:J73">
    <x:cfRule type="expression" dxfId="0" priority="1">
      <x:formula>J12="Alta"</x:formula>
    </x:cfRule>
  </x:conditionalFormatting>
  <x:conditionalFormatting sqref="K12:K73">
    <x:cfRule type="expression" dxfId="1" priority="2">
      <x:formula>K12="Sí"</x:formula>
    </x:cfRule>
  </x:conditionalFormatting>
  <x:conditionalFormatting sqref="N12:N73">
    <x:cfRule type="expression" dxfId="2" priority="3">
      <x:formula>N12="Validado preliminarmente"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91c0fecccd94bd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4" hidden="0" customWidth="1"/>
    <x:col min="3" max="3" width="48" hidden="0" customWidth="1"/>
    <x:col min="4" max="4" width="42" hidden="0" customWidth="1"/>
    <x:col min="5" max="5" width="28" hidden="0" customWidth="1"/>
    <x:col min="6" max="6" width="13" hidden="0" customWidth="1"/>
    <x:col min="7" max="7" width="46" hidden="0" customWidth="1"/>
    <x:col min="8" max="8" width="15" hidden="0" customWidth="1"/>
    <x:col min="9" max="9" width="34" hidden="0" customWidth="1"/>
  </x:cols>
  <x:sheetData>
    <x:row r="1" ht="28" customHeight="1">
      <x:c r="A1" s="4" t="str">
        <x:v>Diagnóstico preliminar de hallazgos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28" t="str">
        <x:v>Síntesis de los principales problemas de diseño operativo identificados a partir del inventario, observación y entrevistas. No constituye una evaluación individual de desempeño.</x:v>
      </x:c>
      <x:c r="B2" s="28"/>
      <x:c r="C2" s="28"/>
      <x:c r="D2" s="28"/>
      <x:c r="E2" s="28"/>
      <x:c r="F2" s="28"/>
      <x:c r="G2" s="28"/>
      <x:c r="H2" s="28"/>
      <x:c r="I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</x:row>
    <x:row r="4">
      <x:c r="A4" s="16" t="str">
        <x:v>Indicador</x:v>
      </x:c>
      <x:c r="B4" s="16" t="str">
        <x:v>Valor</x:v>
      </x:c>
      <x:c r="C4" s="28"/>
      <x:c r="D4" s="28"/>
      <x:c r="E4" s="28"/>
      <x:c r="F4" s="28"/>
      <x:c r="G4" s="28"/>
      <x:c r="H4" s="28"/>
      <x:c r="I4" s="28"/>
    </x:row>
    <x:row r="5">
      <x:c r="A5" s="28" t="str">
        <x:v>Hallazgos</x:v>
      </x:c>
      <x:c r="B5" s="28" t="n">
        <x:f>COUNTA(B11:B22)</x:f>
        <x:v>12</x:v>
      </x:c>
      <x:c r="C5" s="28"/>
      <x:c r="D5" s="28"/>
      <x:c r="E5" s="28"/>
      <x:c r="F5" s="28"/>
      <x:c r="G5" s="28"/>
      <x:c r="H5" s="28"/>
      <x:c r="I5" s="28"/>
    </x:row>
    <x:row r="6">
      <x:c r="A6" s="28" t="str">
        <x:v>Prioridad alta</x:v>
      </x:c>
      <x:c r="B6" s="28" t="n">
        <x:f>COUNTIF(F11:F22,"Alta")</x:f>
        <x:v>9</x:v>
      </x:c>
      <x:c r="C6" s="28"/>
      <x:c r="D6" s="28"/>
      <x:c r="E6" s="28"/>
      <x:c r="F6" s="28"/>
      <x:c r="G6" s="28"/>
      <x:c r="H6" s="28"/>
      <x:c r="I6" s="28"/>
    </x:row>
    <x:row r="7">
      <x:c r="A7" s="28" t="str">
        <x:v>Acciones inmediatas</x:v>
      </x:c>
      <x:c r="B7" s="28" t="n">
        <x:f>COUNTIF(H11:H22,"Inmediato")</x:f>
        <x:v>6</x:v>
      </x:c>
      <x:c r="C7" s="28"/>
      <x:c r="D7" s="28"/>
      <x:c r="E7" s="28"/>
      <x:c r="F7" s="28"/>
      <x:c r="G7" s="28"/>
      <x:c r="H7" s="28"/>
      <x:c r="I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</x:row>
    <x:row r="10">
      <x:c r="A10" s="24" t="str">
        <x:v>ID</x:v>
      </x:c>
      <x:c r="B10" s="24" t="str">
        <x:v>Hallazgo preliminar</x:v>
      </x:c>
      <x:c r="C10" s="24" t="str">
        <x:v>Evidencia observada</x:v>
      </x:c>
      <x:c r="D10" s="24" t="str">
        <x:v>Impacto / riesgo</x:v>
      </x:c>
      <x:c r="E10" s="24" t="str">
        <x:v>Macroprocesos afectados</x:v>
      </x:c>
      <x:c r="F10" s="24" t="str">
        <x:v>Prioridad</x:v>
      </x:c>
      <x:c r="G10" s="24" t="str">
        <x:v>Recomendación inmediata</x:v>
      </x:c>
      <x:c r="H10" s="24" t="str">
        <x:v>Horizonte</x:v>
      </x:c>
      <x:c r="I10" s="24" t="str">
        <x:v>Validación pendiente</x:v>
      </x:c>
    </x:row>
    <x:row r="11">
      <x:c r="A11" s="25" t="n">
        <x:v>1</x:v>
      </x:c>
      <x:c r="B11" s="25" t="str">
        <x:v>Trabajo fragmentado por interrupciones</x:v>
      </x:c>
      <x:c r="C11" s="25" t="str">
        <x:v>La administradora recibe pedidos de la notaria, abogados, clientes y colaboradores que desplazan actividades planificadas.</x:v>
      </x:c>
      <x:c r="D11" s="25" t="str">
        <x:v>Retrasos, pérdida de concentración y dificultad para completar trabajo de control/reporting.</x:v>
      </x:c>
      <x:c r="E11" s="25" t="str">
        <x:v>Administración general; todos los macroprocesos</x:v>
      </x:c>
      <x:c r="F11" s="25" t="str">
        <x:v>Alta</x:v>
      </x:c>
      <x:c r="G11" s="25" t="str">
        <x:v>Crear canal/tablero único de pendientes y reglas de prioridad.</x:v>
      </x:c>
      <x:c r="H11" s="25" t="str">
        <x:v>Inmediato</x:v>
      </x:c>
      <x:c r="I11" s="25" t="str">
        <x:v>Medir interrupciones durante 3-5 días.</x:v>
      </x:c>
    </x:row>
    <x:row r="12">
      <x:c r="A12" s="25" t="n">
        <x:v>2</x:v>
      </x:c>
      <x:c r="B12" s="25" t="str">
        <x:v>Concentración de ejecución, control y coordinación</x:v>
      </x:c>
      <x:c r="C12" s="25" t="str">
        <x:v>La misma posición actualiza bancos, concilia, prepara pagos, cobra, revisa cierres, coordina RRHH y resuelve incidencias.</x:v>
      </x:c>
      <x:c r="D12" s="25" t="str">
        <x:v>Dependencia de una persona y menor capacidad para supervisar.</x:v>
      </x:c>
      <x:c r="E12" s="25" t="str">
        <x:v>Tesorería; cobranzas; contabilidad; RRHH</x:v>
      </x:c>
      <x:c r="F12" s="25" t="str">
        <x:v>Alta</x:v>
      </x:c>
      <x:c r="G12" s="25" t="str">
        <x:v>Mover ejecución repetitiva a apoyo operativo; mantener revisión y supervisión en administración.</x:v>
      </x:c>
      <x:c r="H12" s="25" t="str">
        <x:v>Corto plazo</x:v>
      </x:c>
      <x:c r="I12" s="25" t="str">
        <x:v>Validar carga y descripción de puesto.</x:v>
      </x:c>
    </x:row>
    <x:row r="13">
      <x:c r="A13" s="25" t="n">
        <x:v>3</x:v>
      </x:c>
      <x:c r="B13" s="25" t="str">
        <x:v>Riesgo de continuidad operativa</x:v>
      </x:c>
      <x:c r="C13" s="25" t="str">
        <x:v>Lisbeth relató que ha tenido que conectarse durante vacaciones y descanso médico porque varias tareas no tienen reemplazo integral.</x:v>
      </x:c>
      <x:c r="D13" s="25" t="str">
        <x:v>Procesos críticos pueden detenerse o perder control durante ausencias.</x:v>
      </x:c>
      <x:c r="E13" s="25" t="str">
        <x:v>Bancos; pagos; cobranzas; plataformas; RRHH</x:v>
      </x:c>
      <x:c r="F13" s="25" t="str">
        <x:v>Alta</x:v>
      </x:c>
      <x:c r="G13" s="25" t="str">
        <x:v>Documentar procesos críticos y capacitar respaldo.</x:v>
      </x:c>
      <x:c r="H13" s="25" t="str">
        <x:v>Inmediato</x:v>
      </x:c>
      <x:c r="I13" s="25" t="str">
        <x:v>Identificar accesos y tareas sin reemplazo.</x:v>
      </x:c>
    </x:row>
    <x:row r="14">
      <x:c r="A14" s="25" t="n">
        <x:v>4</x:v>
      </x:c>
      <x:c r="B14" s="25" t="str">
        <x:v>Delegación reciente todavía no formalizada</x:v>
      </x:c>
      <x:c r="C14" s="25" t="str">
        <x:v>Marlon asumió abastecimiento y Gabriel mantenimiento; Diana asumió caja chica/cierres, pero la redistribución es reciente.</x:v>
      </x:c>
      <x:c r="D14" s="25" t="str">
        <x:v>Responsabilidades pueden volver a escalar informalmente a administración.</x:v>
      </x:c>
      <x:c r="E14" s="25" t="str">
        <x:v>Abastecimiento; mantenimiento; caja</x:v>
      </x:c>
      <x:c r="F14" s="25" t="str">
        <x:v>Alta</x:v>
      </x:c>
      <x:c r="G14" s="25" t="str">
        <x:v>Formalizar funciones, entregables, límites y reporte de cada apoyo.</x:v>
      </x:c>
      <x:c r="H14" s="25" t="str">
        <x:v>Inmediato</x:v>
      </x:c>
      <x:c r="I14" s="25" t="str">
        <x:v>Confirmar funciones post-mudanza.</x:v>
      </x:c>
    </x:row>
    <x:row r="15">
      <x:c r="A15" s="25" t="n">
        <x:v>5</x:v>
      </x:c>
      <x:c r="B15" s="25" t="str">
        <x:v>Doble revisión en cierres corporativos</x:v>
      </x:c>
      <x:c r="C15" s="25" t="str">
        <x:v>Administración vuelve a contrastar cuadros de abogados contra kardex/base porque se han detectado servicios omitidos.</x:v>
      </x:c>
      <x:c r="D15" s="25" t="str">
        <x:v>Retrabajo y riesgo de servicios prestados no facturados.</x:v>
      </x:c>
      <x:c r="E15" s="25" t="str">
        <x:v>Facturación; cierres corporativos</x:v>
      </x:c>
      <x:c r="F15" s="25" t="str">
        <x:v>Alta</x:v>
      </x:c>
      <x:c r="G15" s="25" t="str">
        <x:v>Responsable de cartera valida integridad antes de entregar; administración realiza control por excepción.</x:v>
      </x:c>
      <x:c r="H15" s="25" t="str">
        <x:v>Corto plazo</x:v>
      </x:c>
      <x:c r="I15" s="25" t="str">
        <x:v>Definir estándar de cierre y evidencia.</x:v>
      </x:c>
    </x:row>
    <x:row r="16">
      <x:c r="A16" s="25" t="n">
        <x:v>6</x:v>
      </x:c>
      <x:c r="B16" s="25" t="str">
        <x:v>Seguimiento de cobranzas no centralizado</x:v>
      </x:c>
      <x:c r="C16" s="25" t="str">
        <x:v>Correo, WhatsApp y llamadas se usan para seguimiento; compromisos no están en una bitácora única.</x:v>
      </x:c>
      <x:c r="D16" s="25" t="str">
        <x:v>Pérdida de trazabilidad, reiteraciones o cuentas sin seguimiento.</x:v>
      </x:c>
      <x:c r="E16" s="25" t="str">
        <x:v>Cobranzas</x:v>
      </x:c>
      <x:c r="F16" s="25" t="str">
        <x:v>Alta</x:v>
      </x:c>
      <x:c r="G16" s="25" t="str">
        <x:v>Implementar cartera única, estados y registro de contactos/compromisos.</x:v>
      </x:c>
      <x:c r="H16" s="25" t="str">
        <x:v>Inmediato</x:v>
      </x:c>
      <x:c r="I16" s="25" t="str">
        <x:v>Validar reglas de escalamiento y plantillas.</x:v>
      </x:c>
    </x:row>
    <x:row r="17">
      <x:c r="A17" s="25" t="n">
        <x:v>7</x:v>
      </x:c>
      <x:c r="B17" s="25" t="str">
        <x:v>Procesos financieros con alta manualidad</x:v>
      </x:c>
      <x:c r="C17" s="25" t="str">
        <x:v>Actualización de bancos, conciliación, identificación de abonos, detracciones y cancelaciones requieren cruces manuales.</x:v>
      </x:c>
      <x:c r="D17" s="25" t="str">
        <x:v>Riesgo de error y consumo de tiempo operativo.</x:v>
      </x:c>
      <x:c r="E17" s="25" t="str">
        <x:v>Bancos; aplicación de pagos; conciliación</x:v>
      </x:c>
      <x:c r="F17" s="25" t="str">
        <x:v>Alta</x:v>
      </x:c>
      <x:c r="G17" s="25" t="str">
        <x:v>Automatizar cruces y usar bandeja de excepciones con revisión humana.</x:v>
      </x:c>
      <x:c r="H17" s="25" t="str">
        <x:v>Corto plazo</x:v>
      </x:c>
      <x:c r="I17" s="25" t="str">
        <x:v>Validar fuentes/exportables del sistema.</x:v>
      </x:c>
    </x:row>
    <x:row r="18">
      <x:c r="A18" s="25" t="n">
        <x:v>8</x:v>
      </x:c>
      <x:c r="B18" s="25" t="str">
        <x:v>Caja y control diario mejor distribuidos, pero requieren control estable</x:v>
      </x:c>
      <x:c r="C18" s="25" t="str">
        <x:v>Diana prepara cierres/caja chica y Lisbeth verifica; existen dos cajas y conciliación por efectivo/tarjeta/depósito.</x:v>
      </x:c>
      <x:c r="D18" s="25" t="str">
        <x:v>Errores de caja pueden generar retrabajo y anulaciones.</x:v>
      </x:c>
      <x:c r="E18" s="25" t="str">
        <x:v>Caja y control de ventas</x:v>
      </x:c>
      <x:c r="F18" s="25" t="str">
        <x:v>Media-Alta</x:v>
      </x:c>
      <x:c r="G18" s="25" t="str">
        <x:v>Checklist de cierre diario, roles claros y conciliación estandarizada.</x:v>
      </x:c>
      <x:c r="H18" s="25" t="str">
        <x:v>Inmediato</x:v>
      </x:c>
      <x:c r="I18" s="25" t="str">
        <x:v>Medir errores y tiempos de cierre.</x:v>
      </x:c>
    </x:row>
    <x:row r="19">
      <x:c r="A19" s="25" t="n">
        <x:v>9</x:v>
      </x:c>
      <x:c r="B19" s="25" t="str">
        <x:v>Información y archivos dispersos</x:v>
      </x:c>
      <x:c r="C19" s="25" t="str">
        <x:v>La operación combina sistema, Excel, correo, documentos físicos y carpetas; el archivo se posterga cuando aumenta la carga.</x:v>
      </x:c>
      <x:c r="D19" s="25" t="str">
        <x:v>Dificultad de auditoría, búsqueda y continuidad.</x:v>
      </x:c>
      <x:c r="E19" s="25" t="str">
        <x:v>Contabilidad; pagos; RRHH; cumplimiento</x:v>
      </x:c>
      <x:c r="F19" s="25" t="str">
        <x:v>Media-Alta</x:v>
      </x:c>
      <x:c r="G19" s="25" t="str">
        <x:v>Repositorio y nomenclatura únicos; checklist documental por proceso.</x:v>
      </x:c>
      <x:c r="H19" s="25" t="str">
        <x:v>Corto plazo</x:v>
      </x:c>
      <x:c r="I19" s="25" t="str">
        <x:v>Definir estructura documental institucional.</x:v>
      </x:c>
    </x:row>
    <x:row r="20">
      <x:c r="A20" s="25" t="n">
        <x:v>10</x:v>
      </x:c>
      <x:c r="B20" s="25" t="str">
        <x:v>Reporting gerencial sin vista consolidada</x:v>
      </x:c>
      <x:c r="C20" s="25" t="str">
        <x:v>La notaria recibe reportes diarios por correo, pero no cuenta con un dashboard ejecutivo consolidado.</x:v>
      </x:c>
      <x:c r="D20" s="25" t="str">
        <x:v>Mayor tiempo para interpretar operación y menor visibilidad de tendencias.</x:v>
      </x:c>
      <x:c r="E20" s="25" t="str">
        <x:v>Caja; producción; facturación; cobranzas</x:v>
      </x:c>
      <x:c r="F20" s="25" t="str">
        <x:v>Media-Alta</x:v>
      </x:c>
      <x:c r="G20" s="25" t="str">
        <x:v>Diseñar dashboard con ventas, kardex, facturación, cobro, cartera y medios de pago.</x:v>
      </x:c>
      <x:c r="H20" s="25" t="str">
        <x:v>Corto plazo</x:v>
      </x:c>
      <x:c r="I20" s="25" t="str">
        <x:v>Acordar indicadores con la notaria.</x:v>
      </x:c>
    </x:row>
    <x:row r="21">
      <x:c r="A21" s="25" t="n">
        <x:v>11</x:v>
      </x:c>
      <x:c r="B21" s="25" t="str">
        <x:v>Segregación de funciones requiere formalización</x:v>
      </x:c>
      <x:c r="C21" s="25" t="str">
        <x:v>Algunas actividades mezclan preparación, revisión, aprobación y ejecución; las anulaciones sí tienen control separado por doctora/Ing. Velásquez.</x:v>
      </x:c>
      <x:c r="D21" s="25" t="str">
        <x:v>Riesgo de control interno si los roles no quedan documentados.</x:v>
      </x:c>
      <x:c r="E21" s="25" t="str">
        <x:v>Pagos; anulaciones; devoluciones; plataformas</x:v>
      </x:c>
      <x:c r="F21" s="25" t="str">
        <x:v>Alta</x:v>
      </x:c>
      <x:c r="G21" s="25" t="str">
        <x:v>Definir matriz RACI y niveles de aprobación.</x:v>
      </x:c>
      <x:c r="H21" s="25" t="str">
        <x:v>Corto plazo</x:v>
      </x:c>
      <x:c r="I21" s="25" t="str">
        <x:v>Validar quién solicita, aprueba, ejecuta y verifica.</x:v>
      </x:c>
    </x:row>
    <x:row r="22">
      <x:c r="A22" s="29" t="n">
        <x:v>12</x:v>
      </x:c>
      <x:c r="B22" s="29" t="str">
        <x:v>Procesos regulatorios dependen de recordatorios y seguimiento manual</x:v>
      </x:c>
      <x:c r="C22" s="29" t="str">
        <x:v>Buzones, SUNAFIL, ONP, SST, licencias y certificados tienen fechas y evidencias distintas.</x:v>
      </x:c>
      <x:c r="D22" s="29" t="str">
        <x:v>Riesgo de vencimientos, sanciones o documentos no vigentes.</x:v>
      </x:c>
      <x:c r="E22" s="29" t="str">
        <x:v>Cumplimiento; RRHH; mantenimiento</x:v>
      </x:c>
      <x:c r="F22" s="29" t="str">
        <x:v>Alta</x:v>
      </x:c>
      <x:c r="G22" s="29" t="str">
        <x:v>Calendario único de obligaciones con alertas y dueño.</x:v>
      </x:c>
      <x:c r="H22" s="29" t="str">
        <x:v>Inmediato</x:v>
      </x:c>
      <x:c r="I22" s="29" t="str">
        <x:v>Levantar fechas y vigencias actuales.</x:v>
      </x:c>
    </x:row>
  </x:sheetData>
  <x:mergeCells>
    <x:mergeCell ref="A1:I1"/>
    <x:mergeCell ref="A2:I2"/>
  </x:mergeCells>
  <x:conditionalFormatting sqref="F11:F22">
    <x:cfRule type="expression" dxfId="3" priority="1">
      <x:formula>F11="Alta"</x:formula>
    </x:cfRule>
  </x:conditionalFormatting>
  <x:conditionalFormatting sqref="H11:H22">
    <x:cfRule type="expression" dxfId="4" priority="2">
      <x:formula>H11="Inmediato"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e1066aa2fa04cb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42" hidden="0" customWidth="1"/>
    <x:col min="4" max="4" width="50" hidden="0" customWidth="1"/>
    <x:col min="5" max="5" width="20" hidden="0" customWidth="1"/>
    <x:col min="6" max="6" width="28" hidden="0" customWidth="1"/>
    <x:col min="7" max="7" width="18" hidden="0" customWidth="1"/>
    <x:col min="8" max="8" width="44" hidden="0" customWidth="1"/>
  </x:cols>
  <x:sheetData>
    <x:row r="1" ht="28" customHeight="1">
      <x:c r="A1" s="4" t="str">
        <x:v>Hoja de ruta de siguientes fases</x:v>
      </x:c>
      <x:c r="B1" s="4"/>
      <x:c r="C1" s="4"/>
      <x:c r="D1" s="4"/>
      <x:c r="E1" s="4"/>
      <x:c r="F1" s="4"/>
      <x:c r="G1" s="4"/>
      <x:c r="H1" s="4"/>
    </x:row>
    <x:row r="2">
      <x:c r="A2" s="28" t="str">
        <x:v>Secuencia recomendada para pasar del levantamiento preliminar a una operación más clara, documentada y automatizada de manera gradual.</x:v>
      </x:c>
      <x:c r="B2" s="28"/>
      <x:c r="C2" s="28"/>
      <x:c r="D2" s="28"/>
      <x:c r="E2" s="28"/>
      <x:c r="F2" s="28"/>
      <x:c r="G2" s="28"/>
      <x:c r="H2" s="28"/>
    </x:row>
    <x:row r="3">
      <x:c r="A3" s="28"/>
      <x:c r="B3" s="28"/>
      <x:c r="C3" s="28"/>
      <x:c r="D3" s="28"/>
      <x:c r="E3" s="28"/>
      <x:c r="F3" s="28"/>
      <x:c r="G3" s="28"/>
      <x:c r="H3" s="28"/>
    </x:row>
    <x:row r="4">
      <x:c r="A4" s="16" t="str">
        <x:v>Situación</x:v>
      </x:c>
      <x:c r="B4" s="16" t="str">
        <x:v>Cantidad</x:v>
      </x:c>
      <x:c r="C4" s="16" t="str"/>
      <x:c r="D4" s="16" t="str"/>
      <x:c r="E4" s="28"/>
      <x:c r="F4" s="28"/>
      <x:c r="G4" s="28"/>
      <x:c r="H4" s="28"/>
    </x:row>
    <x:row r="5">
      <x:c r="A5" s="28" t="str">
        <x:v>Líneas de trabajo</x:v>
      </x:c>
      <x:c r="B5" s="28" t="n">
        <x:f>COUNTA(B11:B21)</x:f>
        <x:v>11</x:v>
      </x:c>
      <x:c r="C5" s="28"/>
      <x:c r="D5" s="28"/>
      <x:c r="E5" s="28"/>
      <x:c r="F5" s="28"/>
      <x:c r="G5" s="28"/>
      <x:c r="H5" s="28"/>
    </x:row>
    <x:row r="6">
      <x:c r="A6" s="28" t="str">
        <x:v>En curso / prototipo</x:v>
      </x:c>
      <x:c r="B6" s="28" t="n">
        <x:f>COUNTIF(E11:E21,"*En curso*")+COUNTIF(E11:E21,"*Prototipo*")</x:f>
        <x:v>0</x:v>
      </x:c>
      <x:c r="C6" s="28"/>
      <x:c r="D6" s="28"/>
      <x:c r="E6" s="28"/>
      <x:c r="F6" s="28"/>
      <x:c r="G6" s="28"/>
      <x:c r="H6" s="28"/>
    </x:row>
    <x:row r="7">
      <x:c r="A7" s="28" t="str">
        <x:v>Pendientes</x:v>
      </x:c>
      <x:c r="B7" s="28" t="n">
        <x:f>COUNTIF(E11:E21,"Pendiente")</x:f>
        <x:v>8</x:v>
      </x:c>
      <x:c r="C7" s="28"/>
      <x:c r="D7" s="28"/>
      <x:c r="E7" s="28"/>
      <x:c r="F7" s="28"/>
      <x:c r="G7" s="28"/>
      <x:c r="H7" s="28"/>
    </x:row>
    <x:row r="8">
      <x:c r="A8" s="28"/>
      <x:c r="B8" s="28"/>
      <x:c r="C8" s="28"/>
      <x:c r="D8" s="28"/>
      <x:c r="E8" s="28"/>
      <x:c r="F8" s="28"/>
      <x:c r="G8" s="28"/>
      <x:c r="H8" s="28"/>
    </x:row>
    <x:row r="9">
      <x:c r="A9" s="28"/>
      <x:c r="B9" s="28"/>
      <x:c r="C9" s="28"/>
      <x:c r="D9" s="28"/>
      <x:c r="E9" s="28"/>
      <x:c r="F9" s="28"/>
      <x:c r="G9" s="28"/>
      <x:c r="H9" s="28"/>
    </x:row>
    <x:row r="10">
      <x:c r="A10" s="24" t="str">
        <x:v>Fase</x:v>
      </x:c>
      <x:c r="B10" s="24" t="str">
        <x:v>Línea de trabajo</x:v>
      </x:c>
      <x:c r="C10" s="24" t="str">
        <x:v>Objetivo</x:v>
      </x:c>
      <x:c r="D10" s="24" t="str">
        <x:v>Entregable esperado</x:v>
      </x:c>
      <x:c r="E10" s="24" t="str">
        <x:v>Estado actual</x:v>
      </x:c>
      <x:c r="F10" s="24" t="str">
        <x:v>Responsable sugerido</x:v>
      </x:c>
      <x:c r="G10" s="24" t="str">
        <x:v>Horizonte</x:v>
      </x:c>
      <x:c r="H10" s="24" t="str">
        <x:v>Notas / criterio de cierre</x:v>
      </x:c>
    </x:row>
    <x:row r="11">
      <x:c r="A11" s="25" t="str">
        <x:v>0</x:v>
      </x:c>
      <x:c r="B11" s="25" t="str">
        <x:v>Cierre del levantamiento preliminar</x:v>
      </x:c>
      <x:c r="C11" s="25" t="str">
        <x:v>Consolidar inventario, hallazgos y BPMN prioritarios.</x:v>
      </x:c>
      <x:c r="D11" s="25" t="str">
        <x:v>Inventario actualizado; diagnóstico preliminar; BPMN pagos/cobranzas/cierres; propuesta de responsabilidades.</x:v>
      </x:c>
      <x:c r="E11" s="25" t="str">
        <x:v>En curso / desarrollado</x:v>
      </x:c>
      <x:c r="F11" s="25" t="str">
        <x:v>Arturo + Administradora</x:v>
      </x:c>
      <x:c r="G11" s="25" t="str">
        <x:v>Inmediato</x:v>
      </x:c>
      <x:c r="H11" s="25" t="str">
        <x:v>Validar con la doctora el alcance y prioridades.</x:v>
      </x:c>
    </x:row>
    <x:row r="12">
      <x:c r="A12" s="25" t="str">
        <x:v>1</x:v>
      </x:c>
      <x:c r="B12" s="25" t="str">
        <x:v>Formalizar responsabilidades</x:v>
      </x:c>
      <x:c r="C12" s="25" t="str">
        <x:v>Definir qué queda en Lisbeth, Diana, Gabriel, Marlon, abogados, estudio y futuro apoyo.</x:v>
      </x:c>
      <x:c r="D12" s="25" t="str">
        <x:v>Matriz RACI; descripción breve de responsabilidades; niveles de aprobación.</x:v>
      </x:c>
      <x:c r="E12" s="25" t="str">
        <x:v>Pendiente</x:v>
      </x:c>
      <x:c r="F12" s="25" t="str">
        <x:v>Notaria + Administradora</x:v>
      </x:c>
      <x:c r="G12" s="25" t="str">
        <x:v>Inmediato</x:v>
      </x:c>
      <x:c r="H12" s="25" t="str">
        <x:v>Especialmente caja, abastecimiento, mantenimiento, cierres y anulaciones.</x:v>
      </x:c>
    </x:row>
    <x:row r="13">
      <x:c r="A13" s="25" t="str">
        <x:v>2</x:v>
      </x:c>
      <x:c r="B13" s="25" t="str">
        <x:v>Crear respaldo operativo</x:v>
      </x:c>
      <x:c r="C13" s="25" t="str">
        <x:v>Reducir dependencia de Lisbeth en funciones críticas.</x:v>
      </x:c>
      <x:c r="D13" s="25" t="str">
        <x:v>Perfil de asistente administrativo-financiero; checklist de inducción; backup para bancos, conciliaciones y cobranzas.</x:v>
      </x:c>
      <x:c r="E13" s="25" t="str">
        <x:v>Pendiente</x:v>
      </x:c>
      <x:c r="F13" s="25" t="str">
        <x:v>Notaria + Administradora</x:v>
      </x:c>
      <x:c r="G13" s="25" t="str">
        <x:v>Corto plazo</x:v>
      </x:c>
      <x:c r="H13" s="25" t="str">
        <x:v>Puede ser contratación o redistribución interna según disponibilidad.</x:v>
      </x:c>
    </x:row>
    <x:row r="14">
      <x:c r="A14" s="25" t="str">
        <x:v>3</x:v>
      </x:c>
      <x:c r="B14" s="25" t="str">
        <x:v>Centralizar pendientes y obligaciones</x:v>
      </x:c>
      <x:c r="C14" s="25" t="str">
        <x:v>Unificar seguimiento operativo y regulatorio.</x:v>
      </x:c>
      <x:c r="D14" s="25" t="str">
        <x:v>Tablero de pendientes; calendario de pagos; calendario de obligaciones y vencimientos.</x:v>
      </x:c>
      <x:c r="E14" s="25" t="str">
        <x:v>Pendiente</x:v>
      </x:c>
      <x:c r="F14" s="25" t="str">
        <x:v>Administradora</x:v>
      </x:c>
      <x:c r="G14" s="25" t="str">
        <x:v>Inmediato</x:v>
      </x:c>
      <x:c r="H14" s="25" t="str">
        <x:v>Debe incluir responsable, fecha límite, estado y evidencia.</x:v>
      </x:c>
    </x:row>
    <x:row r="15">
      <x:c r="A15" s="25" t="str">
        <x:v>4</x:v>
      </x:c>
      <x:c r="B15" s="25" t="str">
        <x:v>Implementar piloto de cobranzas</x:v>
      </x:c>
      <x:c r="C15" s="25" t="str">
        <x:v>Reducir trabajo manual sin perder control humano.</x:v>
      </x:c>
      <x:c r="D15" s="25" t="str">
        <x:v>Cartera consolidada; cálculo de vencimientos; borradores de correo; registro de contactos; escalamiento.</x:v>
      </x:c>
      <x:c r="E15" s="25" t="str">
        <x:v>Prototipo avanzado</x:v>
      </x:c>
      <x:c r="F15" s="25" t="str">
        <x:v>Arturo / Administración</x:v>
      </x:c>
      <x:c r="G15" s="25" t="str">
        <x:v>Inmediato</x:v>
      </x:c>
      <x:c r="H15" s="25" t="str">
        <x:v>Mantener aprobación humana antes de envío.</x:v>
      </x:c>
    </x:row>
    <x:row r="16">
      <x:c r="A16" s="25" t="str">
        <x:v>5</x:v>
      </x:c>
      <x:c r="B16" s="25" t="str">
        <x:v>Estandarizar caja y cierres diarios</x:v>
      </x:c>
      <x:c r="C16" s="25" t="str">
        <x:v>Asegurar continuidad del nuevo reparto con Diana.</x:v>
      </x:c>
      <x:c r="D16" s="25" t="str">
        <x:v>Checklist diario de cajas; conciliación por medio de pago; evidencia de visto bueno; control de compensaciones internas.</x:v>
      </x:c>
      <x:c r="E16" s="25" t="str">
        <x:v>Pendiente</x:v>
      </x:c>
      <x:c r="F16" s="25" t="str">
        <x:v>Diana + Administradora</x:v>
      </x:c>
      <x:c r="G16" s="25" t="str">
        <x:v>Corto plazo</x:v>
      </x:c>
      <x:c r="H16" s="25" t="str">
        <x:v>Separar preparación de revisión.</x:v>
      </x:c>
    </x:row>
    <x:row r="17">
      <x:c r="A17" s="25" t="str">
        <x:v>6</x:v>
      </x:c>
      <x:c r="B17" s="25" t="str">
        <x:v>Mejorar cierres corporativos</x:v>
      </x:c>
      <x:c r="C17" s="25" t="str">
        <x:v>Evitar servicios omitidos y doble revisión total.</x:v>
      </x:c>
      <x:c r="D17" s="25" t="str">
        <x:v>Formato estándar de cierre; validación por responsable de cartera; control de excepciones por administración.</x:v>
      </x:c>
      <x:c r="E17" s="25" t="str">
        <x:v>Pendiente</x:v>
      </x:c>
      <x:c r="F17" s="25" t="str">
        <x:v>Abogados + Administradora</x:v>
      </x:c>
      <x:c r="G17" s="25" t="str">
        <x:v>Corto plazo</x:v>
      </x:c>
      <x:c r="H17" s="25" t="str">
        <x:v>Aplicar primero a PLUZ/VIVA y variante Enotria.</x:v>
      </x:c>
    </x:row>
    <x:row r="18">
      <x:c r="A18" s="25" t="str">
        <x:v>7</x:v>
      </x:c>
      <x:c r="B18" s="25" t="str">
        <x:v>Dashboard ejecutivo para la notaria</x:v>
      </x:c>
      <x:c r="C18" s="25" t="str">
        <x:v>Convertir reportes diarios en información gerencial consolidada.</x:v>
      </x:c>
      <x:c r="D18" s="25" t="str">
        <x:v>Dashboard de ventas, producción, facturación, cobros, cartera, medios de pago y pendientes.</x:v>
      </x:c>
      <x:c r="E18" s="25" t="str">
        <x:v>Pendiente</x:v>
      </x:c>
      <x:c r="F18" s="25" t="str">
        <x:v>Administración + soporte de datos</x:v>
      </x:c>
      <x:c r="G18" s="25" t="str">
        <x:v>Corto / medio plazo</x:v>
      </x:c>
      <x:c r="H18" s="25" t="str">
        <x:v>Definir indicadores y fuente de datos con la doctora.</x:v>
      </x:c>
    </x:row>
    <x:row r="19">
      <x:c r="A19" s="25" t="str">
        <x:v>8</x:v>
      </x:c>
      <x:c r="B19" s="25" t="str">
        <x:v>Completar AS-IS y diseñar TO-BE</x:v>
      </x:c>
      <x:c r="C19" s="25" t="str">
        <x:v>Documentar los procesos prioritarios y su estado futuro.</x:v>
      </x:c>
      <x:c r="D19" s="25" t="str">
        <x:v>BPMN AS-IS validados; BPMN TO-BE; controles; responsables; excepciones.</x:v>
      </x:c>
      <x:c r="E19" s="25" t="str">
        <x:v>En curso</x:v>
      </x:c>
      <x:c r="F19" s="25" t="str">
        <x:v>Administración + áreas involucradas</x:v>
      </x:c>
      <x:c r="G19" s="25" t="str">
        <x:v>Corto plazo</x:v>
      </x:c>
      <x:c r="H19" s="25" t="str">
        <x:v>Priorizar pagos, cobranzas, aplicación de pagos, cierres y onboarding.</x:v>
      </x:c>
    </x:row>
    <x:row r="20">
      <x:c r="A20" s="25" t="str">
        <x:v>9</x:v>
      </x:c>
      <x:c r="B20" s="25" t="str">
        <x:v>Estandarizar documentación y manuales</x:v>
      </x:c>
      <x:c r="C20" s="25" t="str">
        <x:v>Reducir dependencia del conocimiento individual.</x:v>
      </x:c>
      <x:c r="D20" s="25" t="str">
        <x:v>Manuales breves; checklist; estructura de carpetas; nomenclatura; evidencias mínimas.</x:v>
      </x:c>
      <x:c r="E20" s="25" t="str">
        <x:v>Pendiente</x:v>
      </x:c>
      <x:c r="F20" s="25" t="str">
        <x:v>Administradora + apoyo</x:v>
      </x:c>
      <x:c r="G20" s="25" t="str">
        <x:v>Medio plazo</x:v>
      </x:c>
      <x:c r="H20" s="25" t="str">
        <x:v>Empezar por procesos críticos y regulatorios.</x:v>
      </x:c>
    </x:row>
    <x:row r="21">
      <x:c r="A21" s="29" t="str">
        <x:v>10</x:v>
      </x:c>
      <x:c r="B21" s="29" t="str">
        <x:v>Medir y mejorar</x:v>
      </x:c>
      <x:c r="C21" s="29" t="str">
        <x:v>Instalar seguimiento continuo de desempeño del proceso.</x:v>
      </x:c>
      <x:c r="D21" s="29" t="str">
        <x:v>KPIs: vencidos, días de cobranza, diferencias de caja, tiempos de cierre, pagos rechazados, pendientes regulatorios.</x:v>
      </x:c>
      <x:c r="E21" s="29" t="str">
        <x:v>Pendiente</x:v>
      </x:c>
      <x:c r="F21" s="29" t="str">
        <x:v>Notaria + Administradora</x:v>
      </x:c>
      <x:c r="G21" s="29" t="str">
        <x:v>Medio plazo</x:v>
      </x:c>
      <x:c r="H21" s="29" t="str">
        <x:v>Definir línea base antes de fijar metas.</x:v>
      </x:c>
    </x:row>
  </x:sheetData>
  <x:mergeCells>
    <x:mergeCell ref="A1:H1"/>
    <x:mergeCell ref="A2:H2"/>
  </x:mergeCells>
  <x:conditionalFormatting sqref="E11:E21">
    <x:cfRule type="expression" dxfId="5" priority="1">
      <x:formula>E11="Pendiente"</x:formula>
    </x:cfRule>
    <x:cfRule type="expression" dxfId="6" priority="2">
      <x:formula>ISNUMBER(SEARCH("En curso",E11))</x:formula>
    </x:cfRule>
    <x:cfRule type="expression" dxfId="7" priority="3">
      <x:formula>ISNUMBER(SEARCH("Prototipo",E11))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694ade5f000455f"/>
  </x:tableParts>
</x:worksheet>
</file>